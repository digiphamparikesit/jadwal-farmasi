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Sheet1" sheetId="1" state="hidden" r:id="rId1"/>
    <sheet name="GRAFIK" sheetId="2" state="hidden" r:id="rId2"/>
    <sheet name="Jadwal" sheetId="3" r:id="rId3"/>
    <sheet name="rekap jadwal" sheetId="4" r:id="rId4"/>
    <sheet name="lebaran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<sst xmlns="http://schemas.openxmlformats.org/spreadsheetml/2006/main" count="3061" uniqueCount="156">
  <si>
    <t>Name</t>
  </si>
  <si>
    <t>STATUS KEPEGAWAIAN</t>
  </si>
  <si>
    <t>DEPO</t>
  </si>
  <si>
    <t>Aji Yuhda Wijaya,S.Farm.Apt</t>
  </si>
  <si>
    <t>PPPK</t>
  </si>
  <si>
    <t>L</t>
  </si>
  <si>
    <t>P</t>
  </si>
  <si>
    <t>CENDERAWASIH</t>
  </si>
  <si>
    <t>Dian Adrian</t>
  </si>
  <si>
    <t>TS</t>
  </si>
  <si>
    <t>FARM TERPADU</t>
  </si>
  <si>
    <t>Eka Fitriani Purwanti</t>
  </si>
  <si>
    <t>BLUD</t>
  </si>
  <si>
    <t>Mayang Azhari</t>
  </si>
  <si>
    <t>Transporter</t>
  </si>
  <si>
    <t>Muhammad Junaidi</t>
  </si>
  <si>
    <t>Tini</t>
  </si>
  <si>
    <t>Apt. Hamziah Filza Fauziah, S.Farm</t>
  </si>
  <si>
    <t>S</t>
  </si>
  <si>
    <t>Apt.Chica Dwi Cahya,S.Farm</t>
  </si>
  <si>
    <t>Apt.Halimatusya'diah,S.Farm</t>
  </si>
  <si>
    <t>CM</t>
  </si>
  <si>
    <t>Apt.Rina Safitri,S.Farm</t>
  </si>
  <si>
    <t>Dwi Juwita Ningsih,S.Farm,Apt</t>
  </si>
  <si>
    <t>Framita Sari,S.farm.Apt</t>
  </si>
  <si>
    <t>Liani Meyanti, S.farm.Apt</t>
  </si>
  <si>
    <t>Apt. Rulina Citra, S.Farm</t>
  </si>
  <si>
    <t>Apt. Ngesti Mayang Pramandayanti, S.Farm</t>
  </si>
  <si>
    <t>Apt. Emilia Pratiwi, S.Farm</t>
  </si>
  <si>
    <t>Andrilidiani,Amd.far</t>
  </si>
  <si>
    <t>Dani Abdul Muttaqin, A.Md.Farm</t>
  </si>
  <si>
    <t>Eko Hadi Noersyamsih,A.Md.FAr</t>
  </si>
  <si>
    <t>Ita Addawiyati,Amd.far</t>
  </si>
  <si>
    <t>PNS</t>
  </si>
  <si>
    <t>Mila Al Jufri, A.Md.Farm</t>
  </si>
  <si>
    <t>Mila Ulfah Farista,Amd.far</t>
  </si>
  <si>
    <t>Nabila Safitri, A.Md.Farm</t>
  </si>
  <si>
    <t>Nurma Safitri, A.Md.Far</t>
  </si>
  <si>
    <t>Putri Apriliana Maharani, A.Md.Farm</t>
  </si>
  <si>
    <t>Vivi Elvira, S.Farm</t>
  </si>
  <si>
    <t>PPPK-pw</t>
  </si>
  <si>
    <t>Henny Puspita Wati, Amd. Far</t>
  </si>
  <si>
    <t>Rizka Oktaviani, A.Md.Farm</t>
  </si>
  <si>
    <t>Asanah, A.Md.Farm</t>
  </si>
  <si>
    <t>Adelia Nor Ramadhini, A.Md.Farm</t>
  </si>
  <si>
    <t>Nur Assyifa Jamiati, A.Md.Farm</t>
  </si>
  <si>
    <t>Viona Riska Dwi Lestari</t>
  </si>
  <si>
    <t>Muhammad Irsandi Oktavianur</t>
  </si>
  <si>
    <t>GD.FARMASI</t>
  </si>
  <si>
    <t>Arjudin</t>
  </si>
  <si>
    <t>Yudistira Ang Jaya</t>
  </si>
  <si>
    <t>Fitriani</t>
  </si>
  <si>
    <t>Sugeng Sirojuddin</t>
  </si>
  <si>
    <t>Indra Fathur Firmansyah, S.Farm</t>
  </si>
  <si>
    <t>Ristianti Aprisia P,S.Farm.Apt</t>
  </si>
  <si>
    <t>Helen Tapilouw,S.Si.Apt</t>
  </si>
  <si>
    <t>Hira Nur Silmi, S.Farm, Apt</t>
  </si>
  <si>
    <t>Hj.Fenny Heryani,Amd.far</t>
  </si>
  <si>
    <t>SKT</t>
  </si>
  <si>
    <t>Dinah Retno Endah.A.Md.Farm</t>
  </si>
  <si>
    <t>Susiyanto Pangestu, Amd.Far</t>
  </si>
  <si>
    <t>Elly Suzanawati,A.Md.An</t>
  </si>
  <si>
    <t>THL</t>
  </si>
  <si>
    <t>Febrianto,A.Md.Far</t>
  </si>
  <si>
    <t>M</t>
  </si>
  <si>
    <t>IBS</t>
  </si>
  <si>
    <t>Supiatun Nissa,Amd.Far</t>
  </si>
  <si>
    <t>Desi Ana Susanti,Amd.Farm</t>
  </si>
  <si>
    <t>Risma Saputri,A.Md.Farm</t>
  </si>
  <si>
    <t>Siti Nurjanah,Amd.far</t>
  </si>
  <si>
    <t>Apt. Yunisca Febrianty, S.Farm</t>
  </si>
  <si>
    <t>IGD</t>
  </si>
  <si>
    <t>Ria Novita Sari, A.Md.Farm</t>
  </si>
  <si>
    <t>Zahratun Nisa,A.Md.Far</t>
  </si>
  <si>
    <t>Ani Eka Indriyani,Amd.Farm</t>
  </si>
  <si>
    <t>Sri Utami,Amd.far</t>
  </si>
  <si>
    <t>Imroatul Widya Ningrat,A.Md.Far</t>
  </si>
  <si>
    <t>Fatmah, A.Md.Far</t>
  </si>
  <si>
    <t>Riza Vina,A.Md.Far</t>
  </si>
  <si>
    <t>Dewi Rachmasuari,A.Md.Far</t>
  </si>
  <si>
    <t>CT</t>
  </si>
  <si>
    <t>Yulinda Christine, A.Md.Far</t>
  </si>
  <si>
    <t>Kurnia Della, A.Md.Farm</t>
  </si>
  <si>
    <t>RANAP</t>
  </si>
  <si>
    <t>Mayrani Permata Sari, S.Farm. Apt</t>
  </si>
  <si>
    <t>Apt. Akhmad Fahri R, S.Farm</t>
  </si>
  <si>
    <t>Apt. Fariana Nur Santi, S.Farm</t>
  </si>
  <si>
    <t>Apt. Muhammad Fajar Atma Dinata, S.Farm</t>
  </si>
  <si>
    <t>Apt.Monalyta Panjaitan, S.Farm</t>
  </si>
  <si>
    <t>Rizka Arianie Rusli.S.Farm.Apt</t>
  </si>
  <si>
    <t>Edy Sudiyanto</t>
  </si>
  <si>
    <t>Jakpar</t>
  </si>
  <si>
    <t>Erwin</t>
  </si>
  <si>
    <t>Rahmawati,Amd.far</t>
  </si>
  <si>
    <t>Nurfitria Dian Hanjaya, Amd. Far</t>
  </si>
  <si>
    <t>Monica Happying</t>
  </si>
  <si>
    <t>Amelia Tri Untari,A. Md.Farm</t>
  </si>
  <si>
    <t>Evi Kurniawati.A.Md.Far</t>
  </si>
  <si>
    <t>Hairun Nissa,A.Md.Far</t>
  </si>
  <si>
    <t>Nurhasanah,A.Md.Farm</t>
  </si>
  <si>
    <t>Ulfah Musyarofah Indah Sari, A.Md.Far</t>
  </si>
  <si>
    <t>Yuni Anisa Ningsih,Amd.Farm</t>
  </si>
  <si>
    <t>Yudha Setiawan,Amd.far</t>
  </si>
  <si>
    <t>Achmad Mustafa,Amd.far</t>
  </si>
  <si>
    <t>Apt. Badzlina Azyyati Maizan, S.Farm., M.Farm.Klin</t>
  </si>
  <si>
    <t>Apt. Sayyidah Nur Fathimah, S.Farm</t>
  </si>
  <si>
    <t>Apt.Chaerul Reza Mahendra, S.Farm</t>
  </si>
  <si>
    <t>UPSS</t>
  </si>
  <si>
    <t>Vindy Rofandi,Amd.far</t>
  </si>
  <si>
    <t>Anita Rahim,Amd.far</t>
  </si>
  <si>
    <t>TGL PELAYANAN</t>
  </si>
  <si>
    <t>TOTAL STAFF DI PELAYANAN</t>
  </si>
  <si>
    <t>TOTAL STAFF LIBUR/IZIN/CUTI/SAKIT</t>
  </si>
  <si>
    <t>Tanggal tidak ditemukan di jadwal</t>
  </si>
  <si>
    <t>Aji Yuhda Wijaya,S.Farm.Apt (P)</t>
  </si>
  <si>
    <t>JADWAL PIC INSTALASI FARMASI SELAMA CUTI BERSAMA 2026</t>
  </si>
  <si>
    <t>NO</t>
  </si>
  <si>
    <t>NAMA STAFF</t>
  </si>
  <si>
    <t>JABATAN</t>
  </si>
  <si>
    <t>STATUS PEGAWAI</t>
  </si>
  <si>
    <t>TANGGAL</t>
  </si>
  <si>
    <t>NO.HP</t>
  </si>
  <si>
    <t>INSTALASI FARMASI</t>
  </si>
  <si>
    <t>APT</t>
  </si>
  <si>
    <t>ON CALL</t>
  </si>
  <si>
    <t>0813-4638-8543</t>
  </si>
  <si>
    <t>APT KOOR</t>
  </si>
  <si>
    <t>0852-4692-0473</t>
  </si>
  <si>
    <t>0853-8849-7281</t>
  </si>
  <si>
    <t>0897-0024-658</t>
  </si>
  <si>
    <t>APT PJ.KOOR</t>
  </si>
  <si>
    <t>0831-5289-1985</t>
  </si>
  <si>
    <t>TRP</t>
  </si>
  <si>
    <t>0899-4127-700</t>
  </si>
  <si>
    <t>ADM</t>
  </si>
  <si>
    <t>0878-6241-4075</t>
  </si>
  <si>
    <t>0822-8072-0241</t>
  </si>
  <si>
    <t>0858-2262-9533</t>
  </si>
  <si>
    <t>0878-1012-0603</t>
  </si>
  <si>
    <t>0852-5017-2929</t>
  </si>
  <si>
    <t>0822-5027-3723</t>
  </si>
  <si>
    <t>TTK</t>
  </si>
  <si>
    <t>0812-5843-305</t>
  </si>
  <si>
    <t>0813-4702-3860</t>
  </si>
  <si>
    <t>0812-5433-6719</t>
  </si>
  <si>
    <t>Refa Yulia Rossanty, SKM</t>
  </si>
  <si>
    <t>PT</t>
  </si>
  <si>
    <t>0821-4865-3319</t>
  </si>
  <si>
    <t>Mengetahui</t>
  </si>
  <si>
    <t>Tenggarong Seberang, 02 Maret 2026</t>
  </si>
  <si>
    <t>Kepala Bidang Penunjang</t>
  </si>
  <si>
    <t>Kepala Instalasi Farmasi</t>
  </si>
  <si>
    <t>dr.Sugiyarti,M.M,Rs</t>
  </si>
  <si>
    <t>Helen Tapilouw, S. Si. Apt</t>
  </si>
  <si>
    <t>NIP.197510092007012025</t>
  </si>
  <si>
    <t>NIP.197507202005022003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</si>
</sst>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/m/yyyy"/>
    <numFmt numFmtId="181" formatCode="m/d/yyyy\ h:mm:ss"/>
  </numFmts>
  <fonts count="35">
    <font>
      <sz val="10"/>
      <color rgb="FF000000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4"/>
      <color theme="0"/>
      <name val="Arial"/>
      <charset val="134"/>
      <scheme val="minor"/>
    </font>
    <font>
      <b/>
      <sz val="14"/>
      <color rgb="FFFFFFFF"/>
      <name val="Arial"/>
      <charset val="134"/>
      <scheme val="minor"/>
    </font>
    <font>
      <b/>
      <sz val="10"/>
      <color theme="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rgb="FFFFFFFF"/>
      <name val="Arial"/>
      <charset val="134"/>
    </font>
    <font>
      <sz val="10"/>
      <color rgb="FFFFFFFF"/>
      <name val="Microsoft Yahei"/>
      <charset val="134"/>
    </font>
    <font>
      <sz val="9"/>
      <color rgb="FF9C0006"/>
      <name val="Arial"/>
      <charset val="134"/>
    </font>
    <font>
      <sz val="9"/>
      <color rgb="FF3F3F3F"/>
      <name val="Arial"/>
      <charset val="134"/>
    </font>
    <font>
      <sz val="9"/>
      <color rgb="FF22725C"/>
      <name val="Arial"/>
      <charset val="134"/>
    </font>
    <font>
      <sz val="9"/>
      <color rgb="FFFFFFFF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5DCEAF"/>
        <bgColor rgb="FF5DCEAF"/>
      </patternFill>
    </fill>
    <fill>
      <patternFill patternType="solid">
        <fgColor rgb="FFFFC7CE"/>
        <bgColor rgb="FFFFC7CE"/>
      </patternFill>
    </fill>
    <fill>
      <patternFill patternType="solid">
        <fgColor rgb="FFFFE89F"/>
        <bgColor rgb="FFFFE89F"/>
      </patternFill>
    </fill>
    <fill>
      <patternFill patternType="solid">
        <fgColor rgb="FFCAF297"/>
        <bgColor rgb="FFCAF297"/>
      </patternFill>
    </fill>
    <fill>
      <patternFill patternType="solid">
        <fgColor rgb="FFDEF5EF"/>
        <bgColor rgb="FFDEF5EF"/>
      </patternFill>
    </fill>
    <fill>
      <patternFill patternType="solid">
        <fgColor rgb="FFFFB279"/>
        <bgColor rgb="FFFFB279"/>
      </patternFill>
    </fill>
    <fill>
      <patternFill patternType="solid">
        <fgColor rgb="FFC3260C"/>
        <bgColor rgb="FFC3260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4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10" applyNumberFormat="0" applyAlignment="0" applyProtection="0">
      <alignment vertical="center"/>
    </xf>
    <xf numFmtId="0" fontId="25" fillId="16" borderId="11" applyNumberFormat="0" applyAlignment="0" applyProtection="0">
      <alignment vertical="center"/>
    </xf>
    <xf numFmtId="0" fontId="26" fillId="16" borderId="10" applyNumberFormat="0" applyAlignment="0" applyProtection="0">
      <alignment vertical="center"/>
    </xf>
    <xf numFmtId="0" fontId="27" fillId="17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0" xfId="0" applyFont="1" applyAlignment="1"/>
    <xf numFmtId="58" fontId="5" fillId="4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7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4" fillId="0" borderId="5" xfId="0" applyFont="1" applyBorder="1" applyAlignment="1"/>
    <xf numFmtId="0" fontId="4" fillId="0" borderId="5" xfId="0" applyFont="1" applyBorder="1"/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wrapText="1"/>
    </xf>
    <xf numFmtId="58" fontId="4" fillId="0" borderId="0" xfId="0" applyNumberFormat="1" applyFont="1" applyAlignment="1"/>
    <xf numFmtId="0" fontId="9" fillId="7" borderId="0" xfId="0" applyFont="1" applyFill="1" applyAlignment="1">
      <alignment horizontal="center"/>
    </xf>
    <xf numFmtId="0" fontId="10" fillId="7" borderId="1" xfId="0" applyFont="1" applyFill="1" applyBorder="1" applyAlignment="1"/>
    <xf numFmtId="0" fontId="10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9" fillId="7" borderId="1" xfId="0" applyFont="1" applyFill="1" applyBorder="1" applyAlignment="1"/>
    <xf numFmtId="0" fontId="10" fillId="7" borderId="1" xfId="0" applyFont="1" applyFill="1" applyBorder="1" applyAlignment="1">
      <alignment wrapText="1"/>
    </xf>
    <xf numFmtId="0" fontId="14" fillId="13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58" fontId="4" fillId="0" borderId="0" xfId="0" applyNumberFormat="1" applyFont="1"/>
    <xf numFmtId="180" fontId="4" fillId="0" borderId="0" xfId="0" applyNumberFormat="1" applyFont="1"/>
    <xf numFmtId="1" fontId="4" fillId="0" borderId="0" xfId="0" applyNumberFormat="1" applyFont="1"/>
    <xf numFmtId="181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FC5E8"/>
          <bgColor rgb="FF9FC5E8"/>
        </patternFill>
      </fill>
    </dxf>
    <dxf>
      <font>
        <color theme="0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219075</xdr:colOff>
      <xdr:row>14</xdr:row>
      <xdr:rowOff>47625</xdr:rowOff>
    </xdr:from>
    <xdr:ext cx="5715000" cy="3533775"/>
    <xdr:pic>
      <xdr:nvPicPr>
        <xdr:cNvPr id="1725707114" name="Chart1" title="Diagram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19075" y="284797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14</xdr:row>
      <xdr:rowOff>47625</xdr:rowOff>
    </xdr:from>
    <xdr:ext cx="5715000" cy="3533775"/>
    <xdr:pic>
      <xdr:nvPicPr>
        <xdr:cNvPr id="1128350691" name="Chart2" title="Diagram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433060" y="284797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32</xdr:row>
      <xdr:rowOff>57150</xdr:rowOff>
    </xdr:from>
    <xdr:ext cx="5715000" cy="3533775"/>
    <xdr:pic>
      <xdr:nvPicPr>
        <xdr:cNvPr id="810229988" name="Chart3" title="Diagram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219075" y="645795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32</xdr:row>
      <xdr:rowOff>133350</xdr:rowOff>
    </xdr:from>
    <xdr:ext cx="5715000" cy="3533775"/>
    <xdr:pic>
      <xdr:nvPicPr>
        <xdr:cNvPr id="903574564" name="Chart4" title="Diagram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5433060" y="6534150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647700</xdr:colOff>
      <xdr:row>14</xdr:row>
      <xdr:rowOff>47625</xdr:rowOff>
    </xdr:from>
    <xdr:ext cx="6505575" cy="5257800"/>
    <xdr:pic>
      <xdr:nvPicPr>
        <xdr:cNvPr id="1793997297" name="Chart5" title="Diagram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0751820" y="2847975"/>
          <a:ext cx="6505575" cy="52578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51</xdr:row>
      <xdr:rowOff>0</xdr:rowOff>
    </xdr:from>
    <xdr:ext cx="5715000" cy="3533775"/>
    <xdr:pic>
      <xdr:nvPicPr>
        <xdr:cNvPr id="603714665" name="Chart6" title="Diagram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219075" y="10201275"/>
          <a:ext cx="57150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41</xdr:row>
      <xdr:rowOff>66675</xdr:rowOff>
    </xdr:from>
    <xdr:ext cx="6505575" cy="5257800"/>
    <xdr:pic>
      <xdr:nvPicPr>
        <xdr:cNvPr id="1032393609" name="Chart7" title="Diagram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10694670" y="8267700"/>
          <a:ext cx="6505575" cy="5257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X10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"/>
    </sheetView>
  </sheetViews>
  <sheetFormatPr defaultColWidth="12.6285714285714" defaultRowHeight="15.75" customHeight="1"/>
  <cols>
    <col min="1" max="1" width="7" customWidth="1"/>
    <col min="2" max="2" width="40.8761904761905" customWidth="1"/>
  </cols>
  <sheetData>
    <row r="1" ht="33" customHeight="1" spans="1:50">
      <c r="A1" s="37" t="str">
        <f>IFERROR(__xludf.DUMMYFUNCTION("IMPORTRANGE(""https://docs.google.com/spreadsheets/d/1IWMQOyimnwaPnyMChqck_ft2tDk_2tIYd8MMHzqPbKw"",""DATA BASE!A1:AN100"")"),"NO")</f>
        <v>NO</v>
      </c>
      <c r="B1" s="37" t="str">
        <f>IFERROR(__xludf.DUMMYFUNCTION("""COMPUTED_VALUE"""),"NAMA PEGAWAI")</f>
        <v>NAMA PEGAWAI</v>
      </c>
      <c r="C1" s="37" t="str">
        <f>IFERROR(__xludf.DUMMYFUNCTION("""COMPUTED_VALUE"""),"email")</f>
        <v>email</v>
      </c>
      <c r="D1" s="37" t="str">
        <f>IFERROR(__xludf.DUMMYFUNCTION("""COMPUTED_VALUE"""),"NIP")</f>
        <v>NIP</v>
      </c>
      <c r="E1" s="37" t="str">
        <f>IFERROR(__xludf.DUMMYFUNCTION("""COMPUTED_VALUE"""),"NIK KTP")</f>
        <v>NIK KTP</v>
      </c>
      <c r="F1" s="37" t="str">
        <f>IFERROR(__xludf.DUMMYFUNCTION("""COMPUTED_VALUE"""),"JENIS KELAMIN")</f>
        <v>JENIS KELAMIN</v>
      </c>
      <c r="G1" s="37" t="str">
        <f>IFERROR(__xludf.DUMMYFUNCTION("""COMPUTED_VALUE"""),"TEMPAT/TANGGAL LAHIR")</f>
        <v>TEMPAT/TANGGAL LAHIR</v>
      </c>
      <c r="H1" s="37" t="str">
        <f>IFERROR(__xludf.DUMMYFUNCTION("""COMPUTED_VALUE"""),"LAHIR")</f>
        <v>LAHIR</v>
      </c>
      <c r="I1" s="37" t="str">
        <f>IFERROR(__xludf.DUMMYFUNCTION("""COMPUTED_VALUE"""),"UMUR")</f>
        <v>UMUR</v>
      </c>
      <c r="J1" s="37" t="str">
        <f>IFERROR(__xludf.DUMMYFUNCTION("""COMPUTED_VALUE"""),"KUALIFIKASI PENDIDIKAN")</f>
        <v>KUALIFIKASI PENDIDIKAN</v>
      </c>
      <c r="K1" s="37" t="str">
        <f>IFERROR(__xludf.DUMMYFUNCTION("""COMPUTED_VALUE"""),"ALAMAT")</f>
        <v>ALAMAT</v>
      </c>
      <c r="L1" s="37" t="str">
        <f>IFERROR(__xludf.DUMMYFUNCTION("""COMPUTED_VALUE"""),"UNIVERSITAS/ SEKOLAH")</f>
        <v>UNIVERSITAS/ SEKOLAH</v>
      </c>
      <c r="M1" s="37" t="str">
        <f>IFERROR(__xludf.DUMMYFUNCTION("""COMPUTED_VALUE"""),"PROFESI")</f>
        <v>PROFESI</v>
      </c>
      <c r="N1" s="37" t="str">
        <f>IFERROR(__xludf.DUMMYFUNCTION("""COMPUTED_VALUE"""),"A")</f>
        <v>A</v>
      </c>
      <c r="O1" s="37" t="str">
        <f>IFERROR(__xludf.DUMMYFUNCTION("""COMPUTED_VALUE"""),"B")</f>
        <v>B</v>
      </c>
      <c r="P1" s="37" t="str">
        <f>IFERROR(__xludf.DUMMYFUNCTION("""COMPUTED_VALUE"""),"MASA KERJA")</f>
        <v>MASA KERJA</v>
      </c>
      <c r="Q1" s="37" t="str">
        <f>IFERROR(__xludf.DUMMYFUNCTION("""COMPUTED_VALUE"""),"JABATAN")</f>
        <v>JABATAN</v>
      </c>
      <c r="R1" s="37" t="str">
        <f>IFERROR(__xludf.DUMMYFUNCTION("""COMPUTED_VALUE"""),"KET")</f>
        <v>KET</v>
      </c>
      <c r="S1" s="37" t="str">
        <f>IFERROR(__xludf.DUMMYFUNCTION("""COMPUTED_VALUE"""),"NOMOR STR")</f>
        <v>NOMOR STR</v>
      </c>
      <c r="T1" s="37" t="str">
        <f>IFERROR(__xludf.DUMMYFUNCTION("""COMPUTED_VALUE"""),"C")</f>
        <v>C</v>
      </c>
      <c r="U1" s="37" t="str">
        <f>IFERROR(__xludf.DUMMYFUNCTION("""COMPUTED_VALUE"""),"D")</f>
        <v>D</v>
      </c>
      <c r="V1" s="37" t="str">
        <f>IFERROR(__xludf.DUMMYFUNCTION("""COMPUTED_VALUE"""),"MASA BERLAKU STR")</f>
        <v>MASA BERLAKU STR</v>
      </c>
      <c r="W1" s="37" t="str">
        <f>IFERROR(__xludf.DUMMYFUNCTION("""COMPUTED_VALUE"""),"NOMOR SIP")</f>
        <v>NOMOR SIP</v>
      </c>
      <c r="X1" s="37" t="str">
        <f>IFERROR(__xludf.DUMMYFUNCTION("""COMPUTED_VALUE"""),"E")</f>
        <v>E</v>
      </c>
      <c r="Y1" s="37" t="str">
        <f>IFERROR(__xludf.DUMMYFUNCTION("""COMPUTED_VALUE"""),"F")</f>
        <v>F</v>
      </c>
      <c r="Z1" s="37" t="str">
        <f>IFERROR(__xludf.DUMMYFUNCTION("""COMPUTED_VALUE"""),"MASA BERLAKU SIP")</f>
        <v>MASA BERLAKU SIP</v>
      </c>
      <c r="AA1" s="37" t="str">
        <f>IFERROR(__xludf.DUMMYFUNCTION("""COMPUTED_VALUE"""),"FOTO")</f>
        <v>FOTO</v>
      </c>
      <c r="AB1" s="37" t="str">
        <f>IFERROR(__xludf.DUMMYFUNCTION("""COMPUTED_VALUE"""),"NOMOR KONTRAK")</f>
        <v>NOMOR KONTRAK</v>
      </c>
      <c r="AC1" s="37" t="str">
        <f>IFERROR(__xludf.DUMMYFUNCTION("""COMPUTED_VALUE"""),"FILE KONTRAK")</f>
        <v>FILE KONTRAK</v>
      </c>
      <c r="AD1" s="37" t="str">
        <f>IFERROR(__xludf.DUMMYFUNCTION("""COMPUTED_VALUE"""),"FILE STR")</f>
        <v>FILE STR</v>
      </c>
      <c r="AE1" s="37" t="str">
        <f>IFERROR(__xludf.DUMMYFUNCTION("""COMPUTED_VALUE"""),"FILE SIPA")</f>
        <v>FILE SIPA</v>
      </c>
      <c r="AF1" s="37" t="str">
        <f>IFERROR(__xludf.DUMMYFUNCTION("""COMPUTED_VALUE"""),"FILE RKK")</f>
        <v>FILE RKK</v>
      </c>
      <c r="AG1" s="37" t="str">
        <f>IFERROR(__xludf.DUMMYFUNCTION("""COMPUTED_VALUE"""),"IJAZAH")</f>
        <v>IJAZAH</v>
      </c>
      <c r="AH1" s="37" t="str">
        <f>IFERROR(__xludf.DUMMYFUNCTION("""COMPUTED_VALUE"""),"SK AWAL")</f>
        <v>SK AWAL</v>
      </c>
      <c r="AI1" s="37" t="str">
        <f>IFERROR(__xludf.DUMMYFUNCTION("""COMPUTED_VALUE"""),"LOKASI STAFF")</f>
        <v>LOKASI STAFF</v>
      </c>
      <c r="AJ1" s="37" t="str">
        <f>IFERROR(__xludf.DUMMYFUNCTION("""COMPUTED_VALUE"""),"PG1")</f>
        <v>PG1</v>
      </c>
      <c r="AK1" s="37" t="str">
        <f>IFERROR(__xludf.DUMMYFUNCTION("""COMPUTED_VALUE"""),"PG2")</f>
        <v>PG2</v>
      </c>
      <c r="AL1" s="37" t="str">
        <f>IFERROR(__xludf.DUMMYFUNCTION("""COMPUTED_VALUE"""),"PG3")</f>
        <v>PG3</v>
      </c>
      <c r="AM1" s="37" t="str">
        <f>IFERROR(__xludf.DUMMYFUNCTION("""COMPUTED_VALUE"""),"PG4")</f>
        <v>PG4</v>
      </c>
      <c r="AN1" s="37" t="str">
        <f>IFERROR(__xludf.DUMMYFUNCTION("""COMPUTED_VALUE"""),"STATUS STAFF")</f>
        <v>STATUS STAFF</v>
      </c>
      <c r="AO1" s="37"/>
      <c r="AP1" s="37"/>
      <c r="AQ1" s="37"/>
      <c r="AR1" s="37"/>
      <c r="AS1" s="37"/>
      <c r="AT1" s="37"/>
      <c r="AU1" s="37"/>
      <c r="AV1" s="37"/>
      <c r="AW1" s="37"/>
      <c r="AX1" s="37"/>
    </row>
    <row r="2" ht="12.75" spans="1:50">
      <c r="A2" s="38">
        <f>IFERROR(__xludf.DUMMYFUNCTION("""COMPUTED_VALUE"""),1)</f>
        <v>1</v>
      </c>
      <c r="B2" s="38" t="str">
        <f>IFERROR(__xludf.DUMMYFUNCTION("""COMPUTED_VALUE"""),"Aji Yuhda Wijaya,S.Farm.Apt")</f>
        <v>Aji Yuhda Wijaya,S.Farm.Apt</v>
      </c>
      <c r="C2" s="38" t="str">
        <f>IFERROR(__xludf.DUMMYFUNCTION("""COMPUTED_VALUE"""),"a@gmail.com")</f>
        <v>a@gmail.com</v>
      </c>
      <c r="D2" s="38" t="str">
        <f>IFERROR(__xludf.DUMMYFUNCTION("""COMPUTED_VALUE"""),"199001272024211010")</f>
        <v>199001272024211010</v>
      </c>
      <c r="E2" s="38" t="str">
        <f>IFERROR(__xludf.DUMMYFUNCTION("""COMPUTED_VALUE"""),"6402062701900003")</f>
        <v>6402062701900003</v>
      </c>
      <c r="F2" s="38" t="str">
        <f>IFERROR(__xludf.DUMMYFUNCTION("""COMPUTED_VALUE"""),"L")</f>
        <v>L</v>
      </c>
      <c r="G2" s="38" t="str">
        <f>IFERROR(__xludf.DUMMYFUNCTION("""COMPUTED_VALUE"""),"Tenggarong,27 Januari 1990")</f>
        <v>Tenggarong,27 Januari 1990</v>
      </c>
      <c r="H2" s="39">
        <f>IFERROR(__xludf.DUMMYFUNCTION("""COMPUTED_VALUE"""),32900)</f>
        <v>32900</v>
      </c>
      <c r="I2" s="38">
        <f>IFERROR(__xludf.DUMMYFUNCTION("""COMPUTED_VALUE"""),36)</f>
        <v>36</v>
      </c>
      <c r="J2" s="38" t="str">
        <f>IFERROR(__xludf.DUMMYFUNCTION("""COMPUTED_VALUE"""),"S1 APOTEKER")</f>
        <v>S1 APOTEKER</v>
      </c>
      <c r="K2" s="38" t="str">
        <f>IFERROR(__xludf.DUMMYFUNCTION("""COMPUTED_VALUE"""),"JL.PUYU NO.16 RT.14 KEL.TIMBAU KEC.TENGGARONG")</f>
        <v>JL.PUYU NO.16 RT.14 KEL.TIMBAU KEC.TENGGARONG</v>
      </c>
      <c r="L2" s="38" t="str">
        <f>IFERROR(__xludf.DUMMYFUNCTION("""COMPUTED_VALUE"""),"UNIVERSITAS SETIA BUDI")</f>
        <v>UNIVERSITAS SETIA BUDI</v>
      </c>
      <c r="M2" s="38" t="str">
        <f>IFERROR(__xludf.DUMMYFUNCTION("""COMPUTED_VALUE"""),"APOTEKER")</f>
        <v>APOTEKER</v>
      </c>
      <c r="N2" s="39">
        <f>IFERROR(__xludf.DUMMYFUNCTION("""COMPUTED_VALUE"""),42461)</f>
        <v>42461</v>
      </c>
      <c r="O2" s="39">
        <f>IFERROR(__xludf.DUMMYFUNCTION("""COMPUTED_VALUE"""),46211.4145195486)</f>
        <v>46211.4145195486</v>
      </c>
      <c r="P2" s="38" t="str">
        <f>IFERROR(__xludf.DUMMYFUNCTION("""COMPUTED_VALUE"""),"10 Tahun3 Bulan")</f>
        <v>10 Tahun3 Bulan</v>
      </c>
      <c r="Q2" s="38" t="str">
        <f>IFERROR(__xludf.DUMMYFUNCTION("""COMPUTED_VALUE"""),"Apt.Onkologi")</f>
        <v>Apt.Onkologi</v>
      </c>
      <c r="R2" s="38" t="str">
        <f>IFERROR(__xludf.DUMMYFUNCTION("""COMPUTED_VALUE"""),"PPPK")</f>
        <v>PPPK</v>
      </c>
      <c r="S2" s="38" t="str">
        <f>IFERROR(__xludf.DUMMYFUNCTION("""COMPUTED_VALUE"""),"VF00001411704815")</f>
        <v>VF00001411704815</v>
      </c>
      <c r="T2" s="39">
        <f>IFERROR(__xludf.DUMMYFUNCTION("""COMPUTED_VALUE"""),45684)</f>
        <v>45684</v>
      </c>
      <c r="U2" s="39">
        <f>IFERROR(__xludf.DUMMYFUNCTION("""COMPUTED_VALUE"""),46211.4145195717)</f>
        <v>46211.4145195717</v>
      </c>
      <c r="V2" s="38" t="str">
        <f>IFERROR(__xludf.DUMMYFUNCTION("""COMPUTED_VALUE"""),"#NUM!")</f>
        <v>#NUM!</v>
      </c>
      <c r="W2" s="38" t="str">
        <f>IFERROR(__xludf.DUMMYFUNCTION("""COMPUTED_VALUE"""),"19900127/SIPA 64.03/2024/1/413")</f>
        <v>19900127/SIPA 64.03/2024/1/413</v>
      </c>
      <c r="X2" s="39">
        <f>IFERROR(__xludf.DUMMYFUNCTION("""COMPUTED_VALUE"""),47388)</f>
        <v>47388</v>
      </c>
      <c r="Y2" s="39">
        <f>IFERROR(__xludf.DUMMYFUNCTION("""COMPUTED_VALUE"""),46211.4145195833)</f>
        <v>46211.4145195833</v>
      </c>
      <c r="Z2" s="38" t="str">
        <f>IFERROR(__xludf.DUMMYFUNCTION("""COMPUTED_VALUE"""),"3 Tahun2 Bulan")</f>
        <v>3 Tahun2 Bulan</v>
      </c>
      <c r="AA2" s="38" t="str">
        <f>IFERROR(__xludf.DUMMYFUNCTION("""COMPUTED_VALUE"""),"DATA BASE_Images/1.FOTO.033324.jpg")</f>
        <v>DATA BASE_Images/1.FOTO.033324.jpg</v>
      </c>
      <c r="AB2" s="38"/>
      <c r="AC2" s="38"/>
      <c r="AD2" s="38" t="str">
        <f>IFERROR(__xludf.DUMMYFUNCTION("""COMPUTED_VALUE"""),"DATA BASE_Files_/1.FILE STR.022634.pdf")</f>
        <v>DATA BASE_Files_/1.FILE STR.022634.pdf</v>
      </c>
      <c r="AE2" s="38" t="str">
        <f>IFERROR(__xludf.DUMMYFUNCTION("""COMPUTED_VALUE"""),"DATA BASE_Files_/1.FILE SIPA.022634.pdf")</f>
        <v>DATA BASE_Files_/1.FILE SIPA.022634.pdf</v>
      </c>
      <c r="AF2" s="38" t="str">
        <f>IFERROR(__xludf.DUMMYFUNCTION("""COMPUTED_VALUE"""),"DATA BASE_Files_/1.FILE RKK.011302.Farm.PDF")</f>
        <v>DATA BASE_Files_/1.FILE RKK.011302.Farm.PDF</v>
      </c>
      <c r="AG2" s="38"/>
      <c r="AH2" s="38"/>
      <c r="AI2" s="38" t="str">
        <f>IFERROR(__xludf.DUMMYFUNCTION("""COMPUTED_VALUE"""),"6. RAWAT JALAN")</f>
        <v>6. RAWAT JALAN</v>
      </c>
      <c r="AJ2" s="38"/>
      <c r="AK2" s="38"/>
      <c r="AL2" s="38"/>
      <c r="AM2" s="38"/>
      <c r="AN2" s="38" t="str">
        <f>IFERROR(__xludf.DUMMYFUNCTION("""COMPUTED_VALUE"""),"AKTIF")</f>
        <v>AKTIF</v>
      </c>
    </row>
    <row r="3" ht="12.75" spans="1:50">
      <c r="A3" s="38">
        <f>IFERROR(__xludf.DUMMYFUNCTION("""COMPUTED_VALUE"""),2)</f>
        <v>2</v>
      </c>
      <c r="B3" s="38" t="str">
        <f>IFERROR(__xludf.DUMMYFUNCTION("""COMPUTED_VALUE"""),"Apt. Akhmad Fahri R, S.Farm")</f>
        <v>Apt. Akhmad Fahri R, S.Farm</v>
      </c>
      <c r="C3" s="38" t="str">
        <f>IFERROR(__xludf.DUMMYFUNCTION("""COMPUTED_VALUE"""),"akhmad.fahri.ramadan@gmail.com")</f>
        <v>akhmad.fahri.ramadan@gmail.com</v>
      </c>
      <c r="D3" s="38" t="str">
        <f>IFERROR(__xludf.DUMMYFUNCTION("""COMPUTED_VALUE"""),"B199801262022021001")</f>
        <v>B199801262022021001</v>
      </c>
      <c r="E3" s="38" t="str">
        <f>IFERROR(__xludf.DUMMYFUNCTION("""COMPUTED_VALUE"""),"6402062601980003")</f>
        <v>6402062601980003</v>
      </c>
      <c r="F3" s="38" t="str">
        <f>IFERROR(__xludf.DUMMYFUNCTION("""COMPUTED_VALUE"""),"L")</f>
        <v>L</v>
      </c>
      <c r="G3" s="38" t="str">
        <f>IFERROR(__xludf.DUMMYFUNCTION("""COMPUTED_VALUE"""),"Tenggarong, 26 Januari 1998")</f>
        <v>Tenggarong, 26 Januari 1998</v>
      </c>
      <c r="H3" s="39">
        <f>IFERROR(__xludf.DUMMYFUNCTION("""COMPUTED_VALUE"""),35821)</f>
        <v>35821</v>
      </c>
      <c r="I3" s="38">
        <f>IFERROR(__xludf.DUMMYFUNCTION("""COMPUTED_VALUE"""),28)</f>
        <v>28</v>
      </c>
      <c r="J3" s="38" t="str">
        <f>IFERROR(__xludf.DUMMYFUNCTION("""COMPUTED_VALUE"""),"S1 APOTEKER")</f>
        <v>S1 APOTEKER</v>
      </c>
      <c r="K3" s="38" t="str">
        <f>IFERROR(__xludf.DUMMYFUNCTION("""COMPUTED_VALUE"""),"JL.GN.TRIYU 2 GG.MADANI KEL.LOA IPUH TENGGARONG")</f>
        <v>JL.GN.TRIYU 2 GG.MADANI KEL.LOA IPUH TENGGARONG</v>
      </c>
      <c r="L3" s="38" t="str">
        <f>IFERROR(__xludf.DUMMYFUNCTION("""COMPUTED_VALUE"""),"UNIVERSITAS MULAWARMAN SAMARINDA")</f>
        <v>UNIVERSITAS MULAWARMAN SAMARINDA</v>
      </c>
      <c r="M3" s="38" t="str">
        <f>IFERROR(__xludf.DUMMYFUNCTION("""COMPUTED_VALUE"""),"APOTEKER")</f>
        <v>APOTEKER</v>
      </c>
      <c r="N3" s="39">
        <f>IFERROR(__xludf.DUMMYFUNCTION("""COMPUTED_VALUE"""),44653)</f>
        <v>44653</v>
      </c>
      <c r="O3" s="39">
        <f>IFERROR(__xludf.DUMMYFUNCTION("""COMPUTED_VALUE"""),46211.4145195486)</f>
        <v>46211.4145195486</v>
      </c>
      <c r="P3" s="38" t="str">
        <f>IFERROR(__xludf.DUMMYFUNCTION("""COMPUTED_VALUE"""),"4 Tahun3 Bulan")</f>
        <v>4 Tahun3 Bulan</v>
      </c>
      <c r="Q3" s="38" t="str">
        <f>IFERROR(__xludf.DUMMYFUNCTION("""COMPUTED_VALUE"""),"Apt.Farklin")</f>
        <v>Apt.Farklin</v>
      </c>
      <c r="R3" s="38" t="str">
        <f>IFERROR(__xludf.DUMMYFUNCTION("""COMPUTED_VALUE"""),"THL")</f>
        <v>THL</v>
      </c>
      <c r="S3" s="38" t="str">
        <f>IFERROR(__xludf.DUMMYFUNCTION("""COMPUTED_VALUE"""),"FS00001845802883")</f>
        <v>FS00001845802883</v>
      </c>
      <c r="T3" s="39">
        <f>IFERROR(__xludf.DUMMYFUNCTION("""COMPUTED_VALUE"""),46048)</f>
        <v>46048</v>
      </c>
      <c r="U3" s="39">
        <f>IFERROR(__xludf.DUMMYFUNCTION("""COMPUTED_VALUE"""),46211.4145195717)</f>
        <v>46211.4145195717</v>
      </c>
      <c r="V3" s="38" t="str">
        <f>IFERROR(__xludf.DUMMYFUNCTION("""COMPUTED_VALUE"""),"#NUM!")</f>
        <v>#NUM!</v>
      </c>
      <c r="W3" s="38" t="str">
        <f>IFERROR(__xludf.DUMMYFUNCTION("""COMPUTED_VALUE"""),"19980126/SIPA 64.03/2022/1/137")</f>
        <v>19980126/SIPA 64.03/2022/1/137</v>
      </c>
      <c r="X3" s="39">
        <f>IFERROR(__xludf.DUMMYFUNCTION("""COMPUTED_VALUE"""),46048)</f>
        <v>46048</v>
      </c>
      <c r="Y3" s="39">
        <f>IFERROR(__xludf.DUMMYFUNCTION("""COMPUTED_VALUE"""),46211.4145195833)</f>
        <v>46211.4145195833</v>
      </c>
      <c r="Z3" s="38" t="str">
        <f>IFERROR(__xludf.DUMMYFUNCTION("""COMPUTED_VALUE"""),"#NUM!")</f>
        <v>#NUM!</v>
      </c>
      <c r="AA3" s="38" t="str">
        <f>IFERROR(__xludf.DUMMYFUNCTION("""COMPUTED_VALUE"""),"DATA BASE_Images/2.FOTO.021747.jpg")</f>
        <v>DATA BASE_Images/2.FOTO.021747.jpg</v>
      </c>
      <c r="AB3" s="38"/>
      <c r="AC3" s="38"/>
      <c r="AD3" s="38" t="str">
        <f>IFERROR(__xludf.DUMMYFUNCTION("""COMPUTED_VALUE"""),"DATA BASE_Files_/2.FILE STR.034736.pdf")</f>
        <v>DATA BASE_Files_/2.FILE STR.034736.pdf</v>
      </c>
      <c r="AE3" s="38" t="str">
        <f>IFERROR(__xludf.DUMMYFUNCTION("""COMPUTED_VALUE"""),"DATA BASE_Files_/2.FILE SIPA.034736.pdf")</f>
        <v>DATA BASE_Files_/2.FILE SIPA.034736.pdf</v>
      </c>
      <c r="AF3" s="38" t="str">
        <f>IFERROR(__xludf.DUMMYFUNCTION("""COMPUTED_VALUE"""),"DATA BASE_Files_/2.FILE RKK.035914.pdf")</f>
        <v>DATA BASE_Files_/2.FILE RKK.035914.pdf</v>
      </c>
      <c r="AG3" s="38"/>
      <c r="AH3" s="38"/>
      <c r="AI3" s="38" t="str">
        <f>IFERROR(__xludf.DUMMYFUNCTION("""COMPUTED_VALUE"""),"4. FARMASI KLINIS")</f>
        <v>4. FARMASI KLINIS</v>
      </c>
      <c r="AJ3" s="38"/>
      <c r="AK3" s="38"/>
      <c r="AL3" s="38"/>
      <c r="AM3" s="38"/>
      <c r="AN3" s="38" t="str">
        <f>IFERROR(__xludf.DUMMYFUNCTION("""COMPUTED_VALUE"""),"AKTIF")</f>
        <v>AKTIF</v>
      </c>
    </row>
    <row r="4" ht="12.75" spans="1:50">
      <c r="A4" s="38">
        <f>IFERROR(__xludf.DUMMYFUNCTION("""COMPUTED_VALUE"""),3)</f>
        <v>3</v>
      </c>
      <c r="B4" s="38" t="str">
        <f>IFERROR(__xludf.DUMMYFUNCTION("""COMPUTED_VALUE"""),"Apt. Fariana Nur Santi, S.Farm")</f>
        <v>Apt. Fariana Nur Santi, S.Farm</v>
      </c>
      <c r="C4" s="38" t="str">
        <f>IFERROR(__xludf.DUMMYFUNCTION("""COMPUTED_VALUE"""),"nursantifariana@gmail.com")</f>
        <v>nursantifariana@gmail.com</v>
      </c>
      <c r="D4" s="38" t="str">
        <f>IFERROR(__xludf.DUMMYFUNCTION("""COMPUTED_VALUE"""),"B199802122022022001")</f>
        <v>B199802122022022001</v>
      </c>
      <c r="E4" s="38" t="str">
        <f>IFERROR(__xludf.DUMMYFUNCTION("""COMPUTED_VALUE"""),"6402065202980006")</f>
        <v>6402065202980006</v>
      </c>
      <c r="F4" s="38" t="str">
        <f>IFERROR(__xludf.DUMMYFUNCTION("""COMPUTED_VALUE"""),"P")</f>
        <v>P</v>
      </c>
      <c r="G4" s="38" t="str">
        <f>IFERROR(__xludf.DUMMYFUNCTION("""COMPUTED_VALUE"""),"Tenggarong, 12 Februari 1998")</f>
        <v>Tenggarong, 12 Februari 1998</v>
      </c>
      <c r="H4" s="39">
        <f>IFERROR(__xludf.DUMMYFUNCTION("""COMPUTED_VALUE"""),35838)</f>
        <v>35838</v>
      </c>
      <c r="I4" s="38">
        <f>IFERROR(__xludf.DUMMYFUNCTION("""COMPUTED_VALUE"""),28)</f>
        <v>28</v>
      </c>
      <c r="J4" s="38" t="str">
        <f>IFERROR(__xludf.DUMMYFUNCTION("""COMPUTED_VALUE"""),"S1 APOTEKER")</f>
        <v>S1 APOTEKER</v>
      </c>
      <c r="K4" s="38" t="str">
        <f>IFERROR(__xludf.DUMMYFUNCTION("""COMPUTED_VALUE"""),"JL.PESUT GG.KARTANEGARA NO.54 RT.20 KEL.TIMBAU")</f>
        <v>JL.PESUT GG.KARTANEGARA NO.54 RT.20 KEL.TIMBAU</v>
      </c>
      <c r="L4" s="38" t="str">
        <f>IFERROR(__xludf.DUMMYFUNCTION("""COMPUTED_VALUE"""),"UNIVERSITAS MULAWARMAN SAMARINDA")</f>
        <v>UNIVERSITAS MULAWARMAN SAMARINDA</v>
      </c>
      <c r="M4" s="38" t="str">
        <f>IFERROR(__xludf.DUMMYFUNCTION("""COMPUTED_VALUE"""),"APOTEKER")</f>
        <v>APOTEKER</v>
      </c>
      <c r="N4" s="39">
        <f>IFERROR(__xludf.DUMMYFUNCTION("""COMPUTED_VALUE"""),44593)</f>
        <v>44593</v>
      </c>
      <c r="O4" s="39">
        <f>IFERROR(__xludf.DUMMYFUNCTION("""COMPUTED_VALUE"""),46211.4145195486)</f>
        <v>46211.4145195486</v>
      </c>
      <c r="P4" s="38" t="str">
        <f>IFERROR(__xludf.DUMMYFUNCTION("""COMPUTED_VALUE"""),"4 Tahun5 Bulan")</f>
        <v>4 Tahun5 Bulan</v>
      </c>
      <c r="Q4" s="38" t="str">
        <f>IFERROR(__xludf.DUMMYFUNCTION("""COMPUTED_VALUE"""),"Apt.Farklin")</f>
        <v>Apt.Farklin</v>
      </c>
      <c r="R4" s="38" t="str">
        <f>IFERROR(__xludf.DUMMYFUNCTION("""COMPUTED_VALUE"""),"BLUD")</f>
        <v>BLUD</v>
      </c>
      <c r="S4" s="38" t="str">
        <f>IFERROR(__xludf.DUMMYFUNCTION("""COMPUTED_VALUE"""),"BA00001514721142")</f>
        <v>BA00001514721142</v>
      </c>
      <c r="T4" s="39">
        <f>IFERROR(__xludf.DUMMYFUNCTION("""COMPUTED_VALUE"""),45545)</f>
        <v>45545</v>
      </c>
      <c r="U4" s="39">
        <f>IFERROR(__xludf.DUMMYFUNCTION("""COMPUTED_VALUE"""),46211.4145195717)</f>
        <v>46211.4145195717</v>
      </c>
      <c r="V4" s="38" t="str">
        <f>IFERROR(__xludf.DUMMYFUNCTION("""COMPUTED_VALUE"""),"#NUM!")</f>
        <v>#NUM!</v>
      </c>
      <c r="W4" s="38" t="str">
        <f>IFERROR(__xludf.DUMMYFUNCTION("""COMPUTED_VALUE"""),"19980212/SIPA 64.03/2026/2/587")</f>
        <v>19980212/SIPA 64.03/2026/2/587</v>
      </c>
      <c r="X4" s="39">
        <f>IFERROR(__xludf.DUMMYFUNCTION("""COMPUTED_VALUE"""),48030)</f>
        <v>48030</v>
      </c>
      <c r="Y4" s="39">
        <f>IFERROR(__xludf.DUMMYFUNCTION("""COMPUTED_VALUE"""),46211.4145195833)</f>
        <v>46211.4145195833</v>
      </c>
      <c r="Z4" s="38" t="str">
        <f>IFERROR(__xludf.DUMMYFUNCTION("""COMPUTED_VALUE"""),"4 Tahun11 Bulan")</f>
        <v>4 Tahun11 Bulan</v>
      </c>
      <c r="AA4" s="38" t="str">
        <f>IFERROR(__xludf.DUMMYFUNCTION("""COMPUTED_VALUE"""),"DATA BASE_Images/3.FOTO.041346.jpg")</f>
        <v>DATA BASE_Images/3.FOTO.041346.jpg</v>
      </c>
      <c r="AB4" s="38"/>
      <c r="AC4" s="38"/>
      <c r="AD4" s="38" t="str">
        <f>IFERROR(__xludf.DUMMYFUNCTION("""COMPUTED_VALUE"""),"DATA BASE_Files_/3.FILE STR.051627.pdf")</f>
        <v>DATA BASE_Files_/3.FILE STR.051627.pdf</v>
      </c>
      <c r="AE4" s="38" t="str">
        <f>IFERROR(__xludf.DUMMYFUNCTION("""COMPUTED_VALUE"""),"DATA BASE_Files_/3.FILE SIPA.051627.pdf")</f>
        <v>DATA BASE_Files_/3.FILE SIPA.051627.pdf</v>
      </c>
      <c r="AF4" s="38" t="str">
        <f>IFERROR(__xludf.DUMMYFUNCTION("""COMPUTED_VALUE"""),"DATA BASE_Files_/3.FILE RKK.051627.pdf")</f>
        <v>DATA BASE_Files_/3.FILE RKK.051627.pdf</v>
      </c>
      <c r="AG4" s="38"/>
      <c r="AH4" s="38"/>
      <c r="AI4" s="38" t="str">
        <f>IFERROR(__xludf.DUMMYFUNCTION("""COMPUTED_VALUE"""),"4. FARMASI KLINIS")</f>
        <v>4. FARMASI KLINIS</v>
      </c>
      <c r="AJ4" s="38"/>
      <c r="AK4" s="38"/>
      <c r="AL4" s="38"/>
      <c r="AM4" s="38"/>
      <c r="AN4" s="38" t="str">
        <f>IFERROR(__xludf.DUMMYFUNCTION("""COMPUTED_VALUE"""),"AKTIF")</f>
        <v>AKTIF</v>
      </c>
    </row>
    <row r="5" ht="12.75" spans="1:50">
      <c r="A5" s="38">
        <f>IFERROR(__xludf.DUMMYFUNCTION("""COMPUTED_VALUE"""),4)</f>
        <v>4</v>
      </c>
      <c r="B5" s="38" t="str">
        <f>IFERROR(__xludf.DUMMYFUNCTION("""COMPUTED_VALUE"""),"Apt. Muhammad Fajar Atma Dinata, S.Farm")</f>
        <v>Apt. Muhammad Fajar Atma Dinata, S.Farm</v>
      </c>
      <c r="C5" s="38" t="str">
        <f>IFERROR(__xludf.DUMMYFUNCTION("""COMPUTED_VALUE"""),"fajaratma@gmail.com")</f>
        <v>fajaratma@gmail.com</v>
      </c>
      <c r="D5" s="38" t="str">
        <f>IFERROR(__xludf.DUMMYFUNCTION("""COMPUTED_VALUE"""),"B199710032022021001")</f>
        <v>B199710032022021001</v>
      </c>
      <c r="E5" s="38" t="str">
        <f>IFERROR(__xludf.DUMMYFUNCTION("""COMPUTED_VALUE"""),"6402060310970002")</f>
        <v>6402060310970002</v>
      </c>
      <c r="F5" s="38" t="str">
        <f>IFERROR(__xludf.DUMMYFUNCTION("""COMPUTED_VALUE"""),"L")</f>
        <v>L</v>
      </c>
      <c r="G5" s="38" t="str">
        <f>IFERROR(__xludf.DUMMYFUNCTION("""COMPUTED_VALUE"""),"Tenggarong, 03 Oktober 1997")</f>
        <v>Tenggarong, 03 Oktober 1997</v>
      </c>
      <c r="H5" s="39">
        <f>IFERROR(__xludf.DUMMYFUNCTION("""COMPUTED_VALUE"""),35706)</f>
        <v>35706</v>
      </c>
      <c r="I5" s="38">
        <f>IFERROR(__xludf.DUMMYFUNCTION("""COMPUTED_VALUE"""),28)</f>
        <v>28</v>
      </c>
      <c r="J5" s="38" t="str">
        <f>IFERROR(__xludf.DUMMYFUNCTION("""COMPUTED_VALUE"""),"S1 APOTEKER")</f>
        <v>S1 APOTEKER</v>
      </c>
      <c r="K5" s="38" t="str">
        <f>IFERROR(__xludf.DUMMYFUNCTION("""COMPUTED_VALUE"""),"JL.MAKAM P.MANGKUNEGORO RT 027 KEL.TIMBAU TENGGARONG")</f>
        <v>JL.MAKAM P.MANGKUNEGORO RT 027 KEL.TIMBAU TENGGARONG</v>
      </c>
      <c r="L5" s="38" t="str">
        <f>IFERROR(__xludf.DUMMYFUNCTION("""COMPUTED_VALUE"""),"UNIVERSITAS MULAWARMAN SAMARINDA")</f>
        <v>UNIVERSITAS MULAWARMAN SAMARINDA</v>
      </c>
      <c r="M5" s="38" t="str">
        <f>IFERROR(__xludf.DUMMYFUNCTION("""COMPUTED_VALUE"""),"APOTEKER")</f>
        <v>APOTEKER</v>
      </c>
      <c r="N5" s="39">
        <f>IFERROR(__xludf.DUMMYFUNCTION("""COMPUTED_VALUE"""),44593)</f>
        <v>44593</v>
      </c>
      <c r="O5" s="39">
        <f>IFERROR(__xludf.DUMMYFUNCTION("""COMPUTED_VALUE"""),46211.4145195486)</f>
        <v>46211.4145195486</v>
      </c>
      <c r="P5" s="38" t="str">
        <f>IFERROR(__xludf.DUMMYFUNCTION("""COMPUTED_VALUE"""),"4 Tahun5 Bulan")</f>
        <v>4 Tahun5 Bulan</v>
      </c>
      <c r="Q5" s="38" t="str">
        <f>IFERROR(__xludf.DUMMYFUNCTION("""COMPUTED_VALUE"""),"Apt.Farklin")</f>
        <v>Apt.Farklin</v>
      </c>
      <c r="R5" s="38" t="str">
        <f>IFERROR(__xludf.DUMMYFUNCTION("""COMPUTED_VALUE"""),"THL")</f>
        <v>THL</v>
      </c>
      <c r="S5" s="38" t="str">
        <f>IFERROR(__xludf.DUMMYFUNCTION("""COMPUTED_VALUE"""),"CW00001518135424")</f>
        <v>CW00001518135424</v>
      </c>
      <c r="T5" s="39">
        <f>IFERROR(__xludf.DUMMYFUNCTION("""COMPUTED_VALUE"""),45546)</f>
        <v>45546</v>
      </c>
      <c r="U5" s="39">
        <f>IFERROR(__xludf.DUMMYFUNCTION("""COMPUTED_VALUE"""),46211.4145195717)</f>
        <v>46211.4145195717</v>
      </c>
      <c r="V5" s="38" t="str">
        <f>IFERROR(__xludf.DUMMYFUNCTION("""COMPUTED_VALUE"""),"#NUM!")</f>
        <v>#NUM!</v>
      </c>
      <c r="W5" s="38" t="str">
        <f>IFERROR(__xludf.DUMMYFUNCTION("""COMPUTED_VALUE"""),"19971003/SIPA 64.03/2022/1/1/139")</f>
        <v>19971003/SIPA 64.03/2022/1/1/139</v>
      </c>
      <c r="X5" s="39">
        <f>IFERROR(__xludf.DUMMYFUNCTION("""COMPUTED_VALUE"""),46298)</f>
        <v>46298</v>
      </c>
      <c r="Y5" s="39">
        <f>IFERROR(__xludf.DUMMYFUNCTION("""COMPUTED_VALUE"""),46211.4145195833)</f>
        <v>46211.4145195833</v>
      </c>
      <c r="Z5" s="38" t="str">
        <f>IFERROR(__xludf.DUMMYFUNCTION("""COMPUTED_VALUE"""),"0 Tahun2 Bulan")</f>
        <v>0 Tahun2 Bulan</v>
      </c>
      <c r="AA5" s="38" t="str">
        <f>IFERROR(__xludf.DUMMYFUNCTION("""COMPUTED_VALUE"""),"DATA BASE_Images/4.FOTO.022938.jpg")</f>
        <v>DATA BASE_Images/4.FOTO.022938.jpg</v>
      </c>
      <c r="AB5" s="38"/>
      <c r="AC5" s="38"/>
      <c r="AD5" s="38" t="str">
        <f>IFERROR(__xludf.DUMMYFUNCTION("""COMPUTED_VALUE"""),"DATA BASE_Files_/4.FILE STR.002409.pdf")</f>
        <v>DATA BASE_Files_/4.FILE STR.002409.pdf</v>
      </c>
      <c r="AE5" s="38" t="str">
        <f>IFERROR(__xludf.DUMMYFUNCTION("""COMPUTED_VALUE"""),"DATA BASE_Files_/4.FILE SIPA.002408.pdf")</f>
        <v>DATA BASE_Files_/4.FILE SIPA.002408.pdf</v>
      </c>
      <c r="AF5" s="38" t="str">
        <f>IFERROR(__xludf.DUMMYFUNCTION("""COMPUTED_VALUE"""),"DATA BASE_Files_/4.FILE RKK.002408.pdf")</f>
        <v>DATA BASE_Files_/4.FILE RKK.002408.pdf</v>
      </c>
      <c r="AG5" s="38"/>
      <c r="AH5" s="38"/>
      <c r="AI5" s="38" t="str">
        <f>IFERROR(__xludf.DUMMYFUNCTION("""COMPUTED_VALUE"""),"4. FARMASI KLINIS")</f>
        <v>4. FARMASI KLINIS</v>
      </c>
      <c r="AJ5" s="38"/>
      <c r="AK5" s="38"/>
      <c r="AL5" s="38"/>
      <c r="AM5" s="38"/>
      <c r="AN5" s="38" t="str">
        <f>IFERROR(__xludf.DUMMYFUNCTION("""COMPUTED_VALUE"""),"AKTIF")</f>
        <v>AKTIF</v>
      </c>
    </row>
    <row r="6" ht="12.75" spans="1:50">
      <c r="A6" s="38">
        <f>IFERROR(__xludf.DUMMYFUNCTION("""COMPUTED_VALUE"""),5)</f>
        <v>5</v>
      </c>
      <c r="B6" s="38" t="str">
        <f>IFERROR(__xludf.DUMMYFUNCTION("""COMPUTED_VALUE"""),"Apt. Ngesti Mayang Pramandayanti, S.Farm")</f>
        <v>Apt. Ngesti Mayang Pramandayanti, S.Farm</v>
      </c>
      <c r="C6" s="38" t="str">
        <f>IFERROR(__xludf.DUMMYFUNCTION("""COMPUTED_VALUE"""),"ngestimayangpr@gmail.com")</f>
        <v>ngestimayangpr@gmail.com</v>
      </c>
      <c r="D6" s="38" t="str">
        <f>IFERROR(__xludf.DUMMYFUNCTION("""COMPUTED_VALUE"""),"B199711042022022001")</f>
        <v>B199711042022022001</v>
      </c>
      <c r="E6" s="38" t="str">
        <f>IFERROR(__xludf.DUMMYFUNCTION("""COMPUTED_VALUE"""),"6409014411970006")</f>
        <v>6409014411970006</v>
      </c>
      <c r="F6" s="38" t="str">
        <f>IFERROR(__xludf.DUMMYFUNCTION("""COMPUTED_VALUE"""),"P")</f>
        <v>P</v>
      </c>
      <c r="G6" s="38" t="str">
        <f>IFERROR(__xludf.DUMMYFUNCTION("""COMPUTED_VALUE"""),"Nganjuk, 04 November 1997")</f>
        <v>Nganjuk, 04 November 1997</v>
      </c>
      <c r="H6" s="39">
        <f>IFERROR(__xludf.DUMMYFUNCTION("""COMPUTED_VALUE"""),35738)</f>
        <v>35738</v>
      </c>
      <c r="I6" s="38">
        <f>IFERROR(__xludf.DUMMYFUNCTION("""COMPUTED_VALUE"""),28)</f>
        <v>28</v>
      </c>
      <c r="J6" s="38" t="str">
        <f>IFERROR(__xludf.DUMMYFUNCTION("""COMPUTED_VALUE"""),"S1 APOTEKER")</f>
        <v>S1 APOTEKER</v>
      </c>
      <c r="K6" s="38" t="str">
        <f>IFERROR(__xludf.DUMMYFUNCTION("""COMPUTED_VALUE"""),"JL.SILKAR RT.16 DESA GIRIMUKTI KEC.PENAJAM KAB.PENAJAM PASER UTARA")</f>
        <v>JL.SILKAR RT.16 DESA GIRIMUKTI KEC.PENAJAM KAB.PENAJAM PASER UTARA</v>
      </c>
      <c r="L6" s="38" t="str">
        <f>IFERROR(__xludf.DUMMYFUNCTION("""COMPUTED_VALUE"""),"UNIVERSITAS SETIA BUDI SOLO")</f>
        <v>UNIVERSITAS SETIA BUDI SOLO</v>
      </c>
      <c r="M6" s="38" t="str">
        <f>IFERROR(__xludf.DUMMYFUNCTION("""COMPUTED_VALUE"""),"APOTEKER")</f>
        <v>APOTEKER</v>
      </c>
      <c r="N6" s="39">
        <f>IFERROR(__xludf.DUMMYFUNCTION("""COMPUTED_VALUE"""),44593)</f>
        <v>44593</v>
      </c>
      <c r="O6" s="39">
        <f>IFERROR(__xludf.DUMMYFUNCTION("""COMPUTED_VALUE"""),46211.4145195486)</f>
        <v>46211.4145195486</v>
      </c>
      <c r="P6" s="38" t="str">
        <f>IFERROR(__xludf.DUMMYFUNCTION("""COMPUTED_VALUE"""),"4 Tahun5 Bulan")</f>
        <v>4 Tahun5 Bulan</v>
      </c>
      <c r="Q6" s="38" t="str">
        <f>IFERROR(__xludf.DUMMYFUNCTION("""COMPUTED_VALUE"""),"Apt.Farklin")</f>
        <v>Apt.Farklin</v>
      </c>
      <c r="R6" s="38" t="str">
        <f>IFERROR(__xludf.DUMMYFUNCTION("""COMPUTED_VALUE"""),"BLUD")</f>
        <v>BLUD</v>
      </c>
      <c r="S6" s="38" t="str">
        <f>IFERROR(__xludf.DUMMYFUNCTION("""COMPUTED_VALUE"""),"19971104/STRA-USB/2021/274394")</f>
        <v>19971104/STRA-USB/2021/274394</v>
      </c>
      <c r="T6" s="39">
        <f>IFERROR(__xludf.DUMMYFUNCTION("""COMPUTED_VALUE"""),46330)</f>
        <v>46330</v>
      </c>
      <c r="U6" s="39">
        <f>IFERROR(__xludf.DUMMYFUNCTION("""COMPUTED_VALUE"""),46211.4145195717)</f>
        <v>46211.4145195717</v>
      </c>
      <c r="V6" s="38" t="str">
        <f>IFERROR(__xludf.DUMMYFUNCTION("""COMPUTED_VALUE"""),"0 Tahun3 Bulan")</f>
        <v>0 Tahun3 Bulan</v>
      </c>
      <c r="W6" s="38" t="str">
        <f>IFERROR(__xludf.DUMMYFUNCTION("""COMPUTED_VALUE"""),"19971104/SIPA 64.03/2022/2/140")</f>
        <v>19971104/SIPA 64.03/2022/2/140</v>
      </c>
      <c r="X6" s="39">
        <f>IFERROR(__xludf.DUMMYFUNCTION("""COMPUTED_VALUE"""),46330)</f>
        <v>46330</v>
      </c>
      <c r="Y6" s="39">
        <f>IFERROR(__xludf.DUMMYFUNCTION("""COMPUTED_VALUE"""),46211.4145195833)</f>
        <v>46211.4145195833</v>
      </c>
      <c r="Z6" s="38" t="str">
        <f>IFERROR(__xludf.DUMMYFUNCTION("""COMPUTED_VALUE"""),"0 Tahun3 Bulan")</f>
        <v>0 Tahun3 Bulan</v>
      </c>
      <c r="AA6" s="38" t="str">
        <f>IFERROR(__xludf.DUMMYFUNCTION("""COMPUTED_VALUE"""),"DATA BASE_Images/5.FOTO.022432.jpg")</f>
        <v>DATA BASE_Images/5.FOTO.022432.jpg</v>
      </c>
      <c r="AB6" s="38"/>
      <c r="AC6" s="38"/>
      <c r="AD6" s="38" t="str">
        <f>IFERROR(__xludf.DUMMYFUNCTION("""COMPUTED_VALUE"""),"DATA BASE_Files_/5.FILE STR.051747.pdf")</f>
        <v>DATA BASE_Files_/5.FILE STR.051747.pdf</v>
      </c>
      <c r="AE6" s="38" t="str">
        <f>IFERROR(__xludf.DUMMYFUNCTION("""COMPUTED_VALUE"""),"DATA BASE_Files_/5.FILE SIPA.051747.pdf")</f>
        <v>DATA BASE_Files_/5.FILE SIPA.051747.pdf</v>
      </c>
      <c r="AF6" s="38" t="str">
        <f>IFERROR(__xludf.DUMMYFUNCTION("""COMPUTED_VALUE"""),"DATA BASE_Files_/5.FILE RKK.051747.pdf")</f>
        <v>DATA BASE_Files_/5.FILE RKK.051747.pdf</v>
      </c>
      <c r="AG6" s="38"/>
      <c r="AH6" s="38"/>
      <c r="AI6" s="38" t="str">
        <f>IFERROR(__xludf.DUMMYFUNCTION("""COMPUTED_VALUE"""),"6. RAWAT JALAN")</f>
        <v>6. RAWAT JALAN</v>
      </c>
      <c r="AJ6" s="38"/>
      <c r="AK6" s="38"/>
      <c r="AL6" s="38"/>
      <c r="AM6" s="38"/>
      <c r="AN6" s="38" t="str">
        <f>IFERROR(__xludf.DUMMYFUNCTION("""COMPUTED_VALUE"""),"AKTIF")</f>
        <v>AKTIF</v>
      </c>
    </row>
    <row r="7" ht="12.75" spans="1:50">
      <c r="A7" s="38">
        <f>IFERROR(__xludf.DUMMYFUNCTION("""COMPUTED_VALUE"""),6)</f>
        <v>6</v>
      </c>
      <c r="B7" s="38" t="str">
        <f>IFERROR(__xludf.DUMMYFUNCTION("""COMPUTED_VALUE"""),"apt. Dwi Juwita Ningsih, S.Farm.")</f>
        <v>apt. Dwi Juwita Ningsih, S.Farm.</v>
      </c>
      <c r="C7" s="38" t="str">
        <f>IFERROR(__xludf.DUMMYFUNCTION("""COMPUTED_VALUE"""),"a@gmail.com")</f>
        <v>a@gmail.com</v>
      </c>
      <c r="D7" s="38" t="str">
        <f>IFERROR(__xludf.DUMMYFUNCTION("""COMPUTED_VALUE"""),"199008172022212005")</f>
        <v>199008172022212005</v>
      </c>
      <c r="E7" s="38" t="str">
        <f>IFERROR(__xludf.DUMMYFUNCTION("""COMPUTED_VALUE"""),"6402065708900007")</f>
        <v>6402065708900007</v>
      </c>
      <c r="F7" s="38" t="str">
        <f>IFERROR(__xludf.DUMMYFUNCTION("""COMPUTED_VALUE"""),"P")</f>
        <v>P</v>
      </c>
      <c r="G7" s="38" t="str">
        <f>IFERROR(__xludf.DUMMYFUNCTION("""COMPUTED_VALUE"""),"Tenggarong,17 Agustus 1990")</f>
        <v>Tenggarong,17 Agustus 1990</v>
      </c>
      <c r="H7" s="39">
        <f>IFERROR(__xludf.DUMMYFUNCTION("""COMPUTED_VALUE"""),33102)</f>
        <v>33102</v>
      </c>
      <c r="I7" s="38">
        <f>IFERROR(__xludf.DUMMYFUNCTION("""COMPUTED_VALUE"""),35)</f>
        <v>35</v>
      </c>
      <c r="J7" s="38" t="str">
        <f>IFERROR(__xludf.DUMMYFUNCTION("""COMPUTED_VALUE"""),"S1 APOTEKER")</f>
        <v>S1 APOTEKER</v>
      </c>
      <c r="K7" s="38" t="str">
        <f>IFERROR(__xludf.DUMMYFUNCTION("""COMPUTED_VALUE"""),"Jl. Gunung Sentul No. 71 RT. 34")</f>
        <v>Jl. Gunung Sentul No. 71 RT. 34</v>
      </c>
      <c r="L7" s="38" t="str">
        <f>IFERROR(__xludf.DUMMYFUNCTION("""COMPUTED_VALUE"""),"SEKOLAH TINGGI FARMASI BANDUNG")</f>
        <v>SEKOLAH TINGGI FARMASI BANDUNG</v>
      </c>
      <c r="M7" s="38" t="str">
        <f>IFERROR(__xludf.DUMMYFUNCTION("""COMPUTED_VALUE"""),"APOTEKER")</f>
        <v>APOTEKER</v>
      </c>
      <c r="N7" s="39">
        <f>IFERROR(__xludf.DUMMYFUNCTION("""COMPUTED_VALUE"""),42036)</f>
        <v>42036</v>
      </c>
      <c r="O7" s="39">
        <f>IFERROR(__xludf.DUMMYFUNCTION("""COMPUTED_VALUE"""),46211.4145195486)</f>
        <v>46211.4145195486</v>
      </c>
      <c r="P7" s="38" t="str">
        <f>IFERROR(__xludf.DUMMYFUNCTION("""COMPUTED_VALUE"""),"11 Tahun5 Bulan")</f>
        <v>11 Tahun5 Bulan</v>
      </c>
      <c r="Q7" s="38" t="str">
        <f>IFERROR(__xludf.DUMMYFUNCTION("""COMPUTED_VALUE"""),"Apt.Farklin")</f>
        <v>Apt.Farklin</v>
      </c>
      <c r="R7" s="38" t="str">
        <f>IFERROR(__xludf.DUMMYFUNCTION("""COMPUTED_VALUE"""),"PPPK")</f>
        <v>PPPK</v>
      </c>
      <c r="S7" s="38" t="str">
        <f>IFERROR(__xludf.DUMMYFUNCTION("""COMPUTED_VALUE"""),"22 28 7 2 2 23-90081704")</f>
        <v>22 28 7 2 2 23-90081704</v>
      </c>
      <c r="T7" s="39">
        <f>IFERROR(__xludf.DUMMYFUNCTION("""COMPUTED_VALUE"""),46982)</f>
        <v>46982</v>
      </c>
      <c r="U7" s="39">
        <f>IFERROR(__xludf.DUMMYFUNCTION("""COMPUTED_VALUE"""),46211.4145195717)</f>
        <v>46211.4145195717</v>
      </c>
      <c r="V7" s="38" t="str">
        <f>IFERROR(__xludf.DUMMYFUNCTION("""COMPUTED_VALUE"""),"2 Tahun1 Bulan")</f>
        <v>2 Tahun1 Bulan</v>
      </c>
      <c r="W7" s="38" t="str">
        <f>IFERROR(__xludf.DUMMYFUNCTION("""COMPUTED_VALUE"""),"19900817/SIPA 64.03/2023/2/245")</f>
        <v>19900817/SIPA 64.03/2023/2/245</v>
      </c>
      <c r="X7" s="39">
        <f>IFERROR(__xludf.DUMMYFUNCTION("""COMPUTED_VALUE"""),46387)</f>
        <v>46387</v>
      </c>
      <c r="Y7" s="39">
        <f>IFERROR(__xludf.DUMMYFUNCTION("""COMPUTED_VALUE"""),46211.4145195833)</f>
        <v>46211.4145195833</v>
      </c>
      <c r="Z7" s="38" t="str">
        <f>IFERROR(__xludf.DUMMYFUNCTION("""COMPUTED_VALUE"""),"0 Tahun5 Bulan")</f>
        <v>0 Tahun5 Bulan</v>
      </c>
      <c r="AA7" s="38" t="str">
        <f>IFERROR(__xludf.DUMMYFUNCTION("""COMPUTED_VALUE"""),"DATA BASE_Images/7.FOTO.013805.jpg")</f>
        <v>DATA BASE_Images/7.FOTO.013805.jpg</v>
      </c>
      <c r="AB7" s="38"/>
      <c r="AC7" s="38"/>
      <c r="AD7" s="38" t="str">
        <f>IFERROR(__xludf.DUMMYFUNCTION("""COMPUTED_VALUE"""),"DATA BASE_Files_/7.FILE STR.050751.pdf")</f>
        <v>DATA BASE_Files_/7.FILE STR.050751.pdf</v>
      </c>
      <c r="AE7" s="38" t="str">
        <f>IFERROR(__xludf.DUMMYFUNCTION("""COMPUTED_VALUE"""),"DATA BASE_Files_/7.FILE SIPA.015726.pdf")</f>
        <v>DATA BASE_Files_/7.FILE SIPA.015726.pdf</v>
      </c>
      <c r="AF7" s="38" t="str">
        <f>IFERROR(__xludf.DUMMYFUNCTION("""COMPUTED_VALUE"""),"DATA BASE_Files_/7.FILE RKK.050751.pdf")</f>
        <v>DATA BASE_Files_/7.FILE RKK.050751.pdf</v>
      </c>
      <c r="AG7" s="38"/>
      <c r="AH7" s="38"/>
      <c r="AI7" s="38" t="str">
        <f>IFERROR(__xludf.DUMMYFUNCTION("""COMPUTED_VALUE"""),"6. RAWAT JALAN")</f>
        <v>6. RAWAT JALAN</v>
      </c>
      <c r="AJ7" s="38"/>
      <c r="AK7" s="38"/>
      <c r="AL7" s="38"/>
      <c r="AM7" s="38"/>
      <c r="AN7" s="38" t="str">
        <f>IFERROR(__xludf.DUMMYFUNCTION("""COMPUTED_VALUE"""),"AKTIF")</f>
        <v>AKTIF</v>
      </c>
    </row>
    <row r="8" ht="12.75" spans="1:50">
      <c r="A8" s="38">
        <f>IFERROR(__xludf.DUMMYFUNCTION("""COMPUTED_VALUE"""),7)</f>
        <v>7</v>
      </c>
      <c r="B8" s="38" t="str">
        <f>IFERROR(__xludf.DUMMYFUNCTION("""COMPUTED_VALUE"""),"apt. Framita Sari, S.Farm.")</f>
        <v>apt. Framita Sari, S.Farm.</v>
      </c>
      <c r="C8" s="38" t="str">
        <f>IFERROR(__xludf.DUMMYFUNCTION("""COMPUTED_VALUE"""),"1a@gmail.com")</f>
        <v>1a@gmail.com</v>
      </c>
      <c r="D8" s="38" t="str">
        <f>IFERROR(__xludf.DUMMYFUNCTION("""COMPUTED_VALUE"""),"199102122022212002")</f>
        <v>199102122022212002</v>
      </c>
      <c r="E8" s="38" t="str">
        <f>IFERROR(__xludf.DUMMYFUNCTION("""COMPUTED_VALUE"""),"6402065202910001")</f>
        <v>6402065202910001</v>
      </c>
      <c r="F8" s="38" t="str">
        <f>IFERROR(__xludf.DUMMYFUNCTION("""COMPUTED_VALUE"""),"P")</f>
        <v>P</v>
      </c>
      <c r="G8" s="38" t="str">
        <f>IFERROR(__xludf.DUMMYFUNCTION("""COMPUTED_VALUE"""),"Tenggarong, 12 Pebruari 1991")</f>
        <v>Tenggarong, 12 Pebruari 1991</v>
      </c>
      <c r="H8" s="39">
        <f>IFERROR(__xludf.DUMMYFUNCTION("""COMPUTED_VALUE"""),33281)</f>
        <v>33281</v>
      </c>
      <c r="I8" s="38">
        <f>IFERROR(__xludf.DUMMYFUNCTION("""COMPUTED_VALUE"""),35)</f>
        <v>35</v>
      </c>
      <c r="J8" s="38" t="str">
        <f>IFERROR(__xludf.DUMMYFUNCTION("""COMPUTED_VALUE"""),"S1 APOTEKER")</f>
        <v>S1 APOTEKER</v>
      </c>
      <c r="K8" s="38" t="str">
        <f>IFERROR(__xludf.DUMMYFUNCTION("""COMPUTED_VALUE"""),"Jl. Mayjend Panjaitan GG. Mangkuraja 1 No. 44 RT. 60")</f>
        <v>Jl. Mayjend Panjaitan GG. Mangkuraja 1 No. 44 RT. 60</v>
      </c>
      <c r="L8" s="38" t="str">
        <f>IFERROR(__xludf.DUMMYFUNCTION("""COMPUTED_VALUE"""),"UNIVERSITAS INDONESIA")</f>
        <v>UNIVERSITAS INDONESIA</v>
      </c>
      <c r="M8" s="38" t="str">
        <f>IFERROR(__xludf.DUMMYFUNCTION("""COMPUTED_VALUE"""),"APOTEKER")</f>
        <v>APOTEKER</v>
      </c>
      <c r="N8" s="39">
        <f>IFERROR(__xludf.DUMMYFUNCTION("""COMPUTED_VALUE"""),42095)</f>
        <v>42095</v>
      </c>
      <c r="O8" s="39">
        <f>IFERROR(__xludf.DUMMYFUNCTION("""COMPUTED_VALUE"""),46211.4145195486)</f>
        <v>46211.4145195486</v>
      </c>
      <c r="P8" s="38" t="str">
        <f>IFERROR(__xludf.DUMMYFUNCTION("""COMPUTED_VALUE"""),"11 Tahun3 Bulan")</f>
        <v>11 Tahun3 Bulan</v>
      </c>
      <c r="Q8" s="38" t="str">
        <f>IFERROR(__xludf.DUMMYFUNCTION("""COMPUTED_VALUE"""),"Koor.Admin")</f>
        <v>Koor.Admin</v>
      </c>
      <c r="R8" s="38" t="str">
        <f>IFERROR(__xludf.DUMMYFUNCTION("""COMPUTED_VALUE"""),"PPPK")</f>
        <v>PPPK</v>
      </c>
      <c r="S8" s="38" t="str">
        <f>IFERROR(__xludf.DUMMYFUNCTION("""COMPUTED_VALUE"""),"PB00001413546391")</f>
        <v>PB00001413546391</v>
      </c>
      <c r="T8" s="39">
        <f>IFERROR(__xludf.DUMMYFUNCTION("""COMPUTED_VALUE"""),45700)</f>
        <v>45700</v>
      </c>
      <c r="U8" s="39">
        <f>IFERROR(__xludf.DUMMYFUNCTION("""COMPUTED_VALUE"""),46211.4145195717)</f>
        <v>46211.4145195717</v>
      </c>
      <c r="V8" s="38" t="str">
        <f>IFERROR(__xludf.DUMMYFUNCTION("""COMPUTED_VALUE"""),"#NUM!")</f>
        <v>#NUM!</v>
      </c>
      <c r="W8" s="38" t="str">
        <f>IFERROR(__xludf.DUMMYFUNCTION("""COMPUTED_VALUE"""),"19910212/SIPA 64.03/2024/2/434")</f>
        <v>19910212/SIPA 64.03/2024/2/434</v>
      </c>
      <c r="X8" s="39">
        <f>IFERROR(__xludf.DUMMYFUNCTION("""COMPUTED_VALUE"""),47444)</f>
        <v>47444</v>
      </c>
      <c r="Y8" s="39">
        <f>IFERROR(__xludf.DUMMYFUNCTION("""COMPUTED_VALUE"""),46211.4145195833)</f>
        <v>46211.4145195833</v>
      </c>
      <c r="Z8" s="38" t="str">
        <f>IFERROR(__xludf.DUMMYFUNCTION("""COMPUTED_VALUE"""),"3 Tahun4 Bulan")</f>
        <v>3 Tahun4 Bulan</v>
      </c>
      <c r="AA8" s="38" t="str">
        <f>IFERROR(__xludf.DUMMYFUNCTION("""COMPUTED_VALUE"""),"DATA BASE_Images/8.FOTO.025805.jpg")</f>
        <v>DATA BASE_Images/8.FOTO.025805.jpg</v>
      </c>
      <c r="AB8" s="38"/>
      <c r="AC8" s="38"/>
      <c r="AD8" s="38" t="str">
        <f>IFERROR(__xludf.DUMMYFUNCTION("""COMPUTED_VALUE"""),"DATA BASE_Files_/8.FILE STR.021157.pdf")</f>
        <v>DATA BASE_Files_/8.FILE STR.021157.pdf</v>
      </c>
      <c r="AE8" s="38" t="str">
        <f>IFERROR(__xludf.DUMMYFUNCTION("""COMPUTED_VALUE"""),"DATA BASE_Files_/8.FILE SIPA.021156.pdf")</f>
        <v>DATA BASE_Files_/8.FILE SIPA.021156.pdf</v>
      </c>
      <c r="AF8" s="38" t="str">
        <f>IFERROR(__xludf.DUMMYFUNCTION("""COMPUTED_VALUE"""),"DATA BASE_Files_/8.FILE RKK.011250.Farm.PDF")</f>
        <v>DATA BASE_Files_/8.FILE RKK.011250.Farm.PDF</v>
      </c>
      <c r="AG8" s="38"/>
      <c r="AH8" s="38"/>
      <c r="AI8" s="38" t="str">
        <f>IFERROR(__xludf.DUMMYFUNCTION("""COMPUTED_VALUE"""),"6. RAWAT JALAN")</f>
        <v>6. RAWAT JALAN</v>
      </c>
      <c r="AJ8" s="38"/>
      <c r="AK8" s="38"/>
      <c r="AL8" s="38"/>
      <c r="AM8" s="38"/>
      <c r="AN8" s="38" t="str">
        <f>IFERROR(__xludf.DUMMYFUNCTION("""COMPUTED_VALUE"""),"AKTIF")</f>
        <v>AKTIF</v>
      </c>
    </row>
    <row r="9" ht="12.75" spans="1:50">
      <c r="A9" s="38">
        <f>IFERROR(__xludf.DUMMYFUNCTION("""COMPUTED_VALUE"""),8)</f>
        <v>8</v>
      </c>
      <c r="B9" s="38" t="str">
        <f>IFERROR(__xludf.DUMMYFUNCTION("""COMPUTED_VALUE"""),"Helen Tapilouw, S.Si.Apt")</f>
        <v>Helen Tapilouw, S.Si.Apt</v>
      </c>
      <c r="C9" s="38" t="str">
        <f>IFERROR(__xludf.DUMMYFUNCTION("""COMPUTED_VALUE"""),"a@gmail.com")</f>
        <v>a@gmail.com</v>
      </c>
      <c r="D9" s="38" t="str">
        <f>IFERROR(__xludf.DUMMYFUNCTION("""COMPUTED_VALUE"""),"197507202005022003")</f>
        <v>197507202005022003</v>
      </c>
      <c r="E9" s="38" t="str">
        <f>IFERROR(__xludf.DUMMYFUNCTION("""COMPUTED_VALUE"""),"6402066007750003")</f>
        <v>6402066007750003</v>
      </c>
      <c r="F9" s="38" t="str">
        <f>IFERROR(__xludf.DUMMYFUNCTION("""COMPUTED_VALUE"""),"P")</f>
        <v>P</v>
      </c>
      <c r="G9" s="38" t="str">
        <f>IFERROR(__xludf.DUMMYFUNCTION("""COMPUTED_VALUE"""),"Samarinda,20 Juli 1975")</f>
        <v>Samarinda,20 Juli 1975</v>
      </c>
      <c r="H9" s="39">
        <f>IFERROR(__xludf.DUMMYFUNCTION("""COMPUTED_VALUE"""),27595)</f>
        <v>27595</v>
      </c>
      <c r="I9" s="38">
        <f>IFERROR(__xludf.DUMMYFUNCTION("""COMPUTED_VALUE"""),51)</f>
        <v>51</v>
      </c>
      <c r="J9" s="38" t="str">
        <f>IFERROR(__xludf.DUMMYFUNCTION("""COMPUTED_VALUE"""),"S1 APOTEKER")</f>
        <v>S1 APOTEKER</v>
      </c>
      <c r="K9" s="38" t="str">
        <f>IFERROR(__xludf.DUMMYFUNCTION("""COMPUTED_VALUE"""),"Jl. Muara Pahu RT. 2 MALUHU")</f>
        <v>Jl. Muara Pahu RT. 2 MALUHU</v>
      </c>
      <c r="L9" s="38" t="str">
        <f>IFERROR(__xludf.DUMMYFUNCTION("""COMPUTED_VALUE"""),"UNIVERSITAS AIRLANGGA SURABAYA")</f>
        <v>UNIVERSITAS AIRLANGGA SURABAYA</v>
      </c>
      <c r="M9" s="38" t="str">
        <f>IFERROR(__xludf.DUMMYFUNCTION("""COMPUTED_VALUE"""),"APOTEKER")</f>
        <v>APOTEKER</v>
      </c>
      <c r="N9" s="39">
        <f>IFERROR(__xludf.DUMMYFUNCTION("""COMPUTED_VALUE"""),38384)</f>
        <v>38384</v>
      </c>
      <c r="O9" s="39">
        <f>IFERROR(__xludf.DUMMYFUNCTION("""COMPUTED_VALUE"""),46211.4145195486)</f>
        <v>46211.4145195486</v>
      </c>
      <c r="P9" s="38" t="str">
        <f>IFERROR(__xludf.DUMMYFUNCTION("""COMPUTED_VALUE"""),"21 Tahun5 Bulan")</f>
        <v>21 Tahun5 Bulan</v>
      </c>
      <c r="Q9" s="38" t="str">
        <f>IFERROR(__xludf.DUMMYFUNCTION("""COMPUTED_VALUE"""),"Ka.Instalasi")</f>
        <v>Ka.Instalasi</v>
      </c>
      <c r="R9" s="38" t="str">
        <f>IFERROR(__xludf.DUMMYFUNCTION("""COMPUTED_VALUE"""),"PNS")</f>
        <v>PNS</v>
      </c>
      <c r="S9" s="38" t="str">
        <f>IFERROR(__xludf.DUMMYFUNCTION("""COMPUTED_VALUE"""),"19750720/STRA-UNAIR/2001/221941")</f>
        <v>19750720/STRA-UNAIR/2001/221941</v>
      </c>
      <c r="T9" s="39">
        <f>IFERROR(__xludf.DUMMYFUNCTION("""COMPUTED_VALUE"""),46223)</f>
        <v>46223</v>
      </c>
      <c r="U9" s="39">
        <f>IFERROR(__xludf.DUMMYFUNCTION("""COMPUTED_VALUE"""),46211.4145195717)</f>
        <v>46211.4145195717</v>
      </c>
      <c r="V9" s="38" t="str">
        <f>IFERROR(__xludf.DUMMYFUNCTION("""COMPUTED_VALUE"""),"0 Tahun0 Bulan")</f>
        <v>0 Tahun0 Bulan</v>
      </c>
      <c r="W9" s="38" t="str">
        <f>IFERROR(__xludf.DUMMYFUNCTION("""COMPUTED_VALUE"""),"19750720/SIPA 64.03/2021/2/013")</f>
        <v>19750720/SIPA 64.03/2021/2/013</v>
      </c>
      <c r="X9" s="39">
        <f>IFERROR(__xludf.DUMMYFUNCTION("""COMPUTED_VALUE"""),46223)</f>
        <v>46223</v>
      </c>
      <c r="Y9" s="39">
        <f>IFERROR(__xludf.DUMMYFUNCTION("""COMPUTED_VALUE"""),46211.4145195833)</f>
        <v>46211.4145195833</v>
      </c>
      <c r="Z9" s="38" t="str">
        <f>IFERROR(__xludf.DUMMYFUNCTION("""COMPUTED_VALUE"""),"0 Tahun0 Bulan")</f>
        <v>0 Tahun0 Bulan</v>
      </c>
      <c r="AA9" s="38" t="str">
        <f>IFERROR(__xludf.DUMMYFUNCTION("""COMPUTED_VALUE"""),"DATA BASE_Images/9.FOTO.030953.jpg")</f>
        <v>DATA BASE_Images/9.FOTO.030953.jpg</v>
      </c>
      <c r="AB9" s="38"/>
      <c r="AC9" s="38"/>
      <c r="AD9" s="38" t="str">
        <f>IFERROR(__xludf.DUMMYFUNCTION("""COMPUTED_VALUE"""),"DATA BASE_Files_/9.FILE STR.032843.pdf")</f>
        <v>DATA BASE_Files_/9.FILE STR.032843.pdf</v>
      </c>
      <c r="AE9" s="38" t="str">
        <f>IFERROR(__xludf.DUMMYFUNCTION("""COMPUTED_VALUE"""),"DATA BASE_Files_/9.FILE SIPA.005206.pdf")</f>
        <v>DATA BASE_Files_/9.FILE SIPA.005206.pdf</v>
      </c>
      <c r="AF9" s="38" t="str">
        <f>IFERROR(__xludf.DUMMYFUNCTION("""COMPUTED_VALUE"""),"DATA BASE_Files_/9.FILE RKK.011256.Si.PDF")</f>
        <v>DATA BASE_Files_/9.FILE RKK.011256.Si.PDF</v>
      </c>
      <c r="AG9" s="38"/>
      <c r="AH9" s="38"/>
      <c r="AI9" s="38" t="str">
        <f>IFERROR(__xludf.DUMMYFUNCTION("""COMPUTED_VALUE"""),"1. KEPALA INSTALASI")</f>
        <v>1. KEPALA INSTALASI</v>
      </c>
      <c r="AJ9" s="38"/>
      <c r="AK9" s="38"/>
      <c r="AL9" s="38"/>
      <c r="AM9" s="38"/>
      <c r="AN9" s="38" t="str">
        <f>IFERROR(__xludf.DUMMYFUNCTION("""COMPUTED_VALUE"""),"AKTIF")</f>
        <v>AKTIF</v>
      </c>
    </row>
    <row r="10" ht="12.75" spans="1:50">
      <c r="A10" s="38">
        <f>IFERROR(__xludf.DUMMYFUNCTION("""COMPUTED_VALUE"""),9)</f>
        <v>9</v>
      </c>
      <c r="B10" s="38" t="str">
        <f>IFERROR(__xludf.DUMMYFUNCTION("""COMPUTED_VALUE"""),"apt. Hira Nur Silmi, S.Farm.")</f>
        <v>apt. Hira Nur Silmi, S.Farm.</v>
      </c>
      <c r="C10" s="38" t="str">
        <f>IFERROR(__xludf.DUMMYFUNCTION("""COMPUTED_VALUE"""),"a@gmail.com")</f>
        <v>a@gmail.com</v>
      </c>
      <c r="D10" s="38" t="str">
        <f>IFERROR(__xludf.DUMMYFUNCTION("""COMPUTED_VALUE"""),"199205312024212004")</f>
        <v>199205312024212004</v>
      </c>
      <c r="E10" s="38" t="str">
        <f>IFERROR(__xludf.DUMMYFUNCTION("""COMPUTED_VALUE"""),"6402067105920003")</f>
        <v>6402067105920003</v>
      </c>
      <c r="F10" s="38" t="str">
        <f>IFERROR(__xludf.DUMMYFUNCTION("""COMPUTED_VALUE"""),"P")</f>
        <v>P</v>
      </c>
      <c r="G10" s="38" t="str">
        <f>IFERROR(__xludf.DUMMYFUNCTION("""COMPUTED_VALUE"""),"Tenggarong, 31 Mei 1992")</f>
        <v>Tenggarong, 31 Mei 1992</v>
      </c>
      <c r="H10" s="39">
        <f>IFERROR(__xludf.DUMMYFUNCTION("""COMPUTED_VALUE"""),33755)</f>
        <v>33755</v>
      </c>
      <c r="I10" s="38">
        <f>IFERROR(__xludf.DUMMYFUNCTION("""COMPUTED_VALUE"""),34)</f>
        <v>34</v>
      </c>
      <c r="J10" s="38" t="str">
        <f>IFERROR(__xludf.DUMMYFUNCTION("""COMPUTED_VALUE"""),"S1 APOTEKER")</f>
        <v>S1 APOTEKER</v>
      </c>
      <c r="K10" s="38" t="str">
        <f>IFERROR(__xludf.DUMMYFUNCTION("""COMPUTED_VALUE"""),"JL.LOA IPUH PERMAI NO.39 RT.XV TENGGARONG")</f>
        <v>JL.LOA IPUH PERMAI NO.39 RT.XV TENGGARONG</v>
      </c>
      <c r="L10" s="38" t="str">
        <f>IFERROR(__xludf.DUMMYFUNCTION("""COMPUTED_VALUE"""),"UNIVERSITAS ISLAM INDONESIA")</f>
        <v>UNIVERSITAS ISLAM INDONESIA</v>
      </c>
      <c r="M10" s="38" t="str">
        <f>IFERROR(__xludf.DUMMYFUNCTION("""COMPUTED_VALUE"""),"APOTEKER")</f>
        <v>APOTEKER</v>
      </c>
      <c r="N10" s="39">
        <f>IFERROR(__xludf.DUMMYFUNCTION("""COMPUTED_VALUE"""),44228)</f>
        <v>44228</v>
      </c>
      <c r="O10" s="39">
        <f>IFERROR(__xludf.DUMMYFUNCTION("""COMPUTED_VALUE"""),46211.4145195486)</f>
        <v>46211.4145195486</v>
      </c>
      <c r="P10" s="38" t="str">
        <f>IFERROR(__xludf.DUMMYFUNCTION("""COMPUTED_VALUE"""),"5 Tahun5 Bulan")</f>
        <v>5 Tahun5 Bulan</v>
      </c>
      <c r="Q10" s="38" t="str">
        <f>IFERROR(__xludf.DUMMYFUNCTION("""COMPUTED_VALUE"""),"Apt.Farklin")</f>
        <v>Apt.Farklin</v>
      </c>
      <c r="R10" s="38" t="str">
        <f>IFERROR(__xludf.DUMMYFUNCTION("""COMPUTED_VALUE"""),"PPPK")</f>
        <v>PPPK</v>
      </c>
      <c r="S10" s="38" t="str">
        <f>IFERROR(__xludf.DUMMYFUNCTION("""COMPUTED_VALUE"""),"CV00001782417054")</f>
        <v>CV00001782417054</v>
      </c>
      <c r="T10" s="39">
        <f>IFERROR(__xludf.DUMMYFUNCTION("""COMPUTED_VALUE"""),45756)</f>
        <v>45756</v>
      </c>
      <c r="U10" s="39">
        <f>IFERROR(__xludf.DUMMYFUNCTION("""COMPUTED_VALUE"""),46211.4145195717)</f>
        <v>46211.4145195717</v>
      </c>
      <c r="V10" s="38" t="str">
        <f>IFERROR(__xludf.DUMMYFUNCTION("""COMPUTED_VALUE"""),"#NUM!")</f>
        <v>#NUM!</v>
      </c>
      <c r="W10" s="38" t="str">
        <f>IFERROR(__xludf.DUMMYFUNCTION("""COMPUTED_VALUE"""),"19920531/SIPA 64.03/2025/2/29")</f>
        <v>19920531/SIPA 64.03/2025/2/29</v>
      </c>
      <c r="X10" s="39">
        <f>IFERROR(__xludf.DUMMYFUNCTION("""COMPUTED_VALUE"""),47727)</f>
        <v>47727</v>
      </c>
      <c r="Y10" s="39">
        <f>IFERROR(__xludf.DUMMYFUNCTION("""COMPUTED_VALUE"""),46211.4145195833)</f>
        <v>46211.4145195833</v>
      </c>
      <c r="Z10" s="38" t="str">
        <f>IFERROR(__xludf.DUMMYFUNCTION("""COMPUTED_VALUE"""),"4 Tahun1 Bulan")</f>
        <v>4 Tahun1 Bulan</v>
      </c>
      <c r="AA10" s="38" t="str">
        <f>IFERROR(__xludf.DUMMYFUNCTION("""COMPUTED_VALUE"""),"DATA BASE_Images/10.FOTO.022712.jpg")</f>
        <v>DATA BASE_Images/10.FOTO.022712.jpg</v>
      </c>
      <c r="AB10" s="38"/>
      <c r="AC10" s="38"/>
      <c r="AD10" s="38" t="str">
        <f>IFERROR(__xludf.DUMMYFUNCTION("""COMPUTED_VALUE"""),"DATA BASE_Files_/9.FILE STR.064903.pdf")</f>
        <v>DATA BASE_Files_/9.FILE STR.064903.pdf</v>
      </c>
      <c r="AE10" s="38" t="str">
        <f>IFERROR(__xludf.DUMMYFUNCTION("""COMPUTED_VALUE"""),"DATA BASE_Files_/10.FILE SIPA.000953.Farm_SIP.pdf")</f>
        <v>DATA BASE_Files_/10.FILE SIPA.000953.Farm_SIP.pdf</v>
      </c>
      <c r="AF10" s="38" t="str">
        <f>IFERROR(__xludf.DUMMYFUNCTION("""COMPUTED_VALUE"""),"DATA BASE_Files_/10.FILE RKK.000953.Farm_SPK RKK - instalasi farmasi.pdf")</f>
        <v>DATA BASE_Files_/10.FILE RKK.000953.Farm_SPK RKK - instalasi farmasi.pdf</v>
      </c>
      <c r="AG10" s="38"/>
      <c r="AH10" s="38"/>
      <c r="AI10" s="38" t="str">
        <f>IFERROR(__xludf.DUMMYFUNCTION("""COMPUTED_VALUE"""),"8. GUDANG FARMASI")</f>
        <v>8. GUDANG FARMASI</v>
      </c>
      <c r="AJ10" s="38"/>
      <c r="AK10" s="38"/>
      <c r="AL10" s="38"/>
      <c r="AM10" s="38"/>
      <c r="AN10" s="38" t="str">
        <f>IFERROR(__xludf.DUMMYFUNCTION("""COMPUTED_VALUE"""),"AKTIF")</f>
        <v>AKTIF</v>
      </c>
    </row>
    <row r="11" ht="12.75" spans="1:50">
      <c r="A11" s="38">
        <f>IFERROR(__xludf.DUMMYFUNCTION("""COMPUTED_VALUE"""),10)</f>
        <v>10</v>
      </c>
      <c r="B11" s="38" t="str">
        <f>IFERROR(__xludf.DUMMYFUNCTION("""COMPUTED_VALUE"""),"apt. Mayrani Permata Sari, S.Farm.")</f>
        <v>apt. Mayrani Permata Sari, S.Farm.</v>
      </c>
      <c r="C11" s="38" t="str">
        <f>IFERROR(__xludf.DUMMYFUNCTION("""COMPUTED_VALUE"""),"aa@gmail.com")</f>
        <v>aa@gmail.com</v>
      </c>
      <c r="D11" s="38" t="str">
        <f>IFERROR(__xludf.DUMMYFUNCTION("""COMPUTED_VALUE"""),"199605152024212001")</f>
        <v>199605152024212001</v>
      </c>
      <c r="E11" s="38" t="str">
        <f>IFERROR(__xludf.DUMMYFUNCTION("""COMPUTED_VALUE"""),"6402075505960001")</f>
        <v>6402075505960001</v>
      </c>
      <c r="F11" s="38" t="str">
        <f>IFERROR(__xludf.DUMMYFUNCTION("""COMPUTED_VALUE"""),"P")</f>
        <v>P</v>
      </c>
      <c r="G11" s="38" t="str">
        <f>IFERROR(__xludf.DUMMYFUNCTION("""COMPUTED_VALUE"""),"kutai, 15 mei 1996")</f>
        <v>kutai, 15 mei 1996</v>
      </c>
      <c r="H11" s="39">
        <f>IFERROR(__xludf.DUMMYFUNCTION("""COMPUTED_VALUE"""),35200)</f>
        <v>35200</v>
      </c>
      <c r="I11" s="38">
        <f>IFERROR(__xludf.DUMMYFUNCTION("""COMPUTED_VALUE"""),30)</f>
        <v>30</v>
      </c>
      <c r="J11" s="38" t="str">
        <f>IFERROR(__xludf.DUMMYFUNCTION("""COMPUTED_VALUE"""),"S1 APOTEKER")</f>
        <v>S1 APOTEKER</v>
      </c>
      <c r="K11" s="38" t="str">
        <f>IFERROR(__xludf.DUMMYFUNCTION("""COMPUTED_VALUE"""),"DSN.ARGOMULYO RT.16 RW.01 DESA GIRI AGUNG KEC.SEBULU")</f>
        <v>DSN.ARGOMULYO RT.16 RW.01 DESA GIRI AGUNG KEC.SEBULU</v>
      </c>
      <c r="L11" s="38" t="str">
        <f>IFERROR(__xludf.DUMMYFUNCTION("""COMPUTED_VALUE"""),"UNIVERSITAS MUHAMMADIYAH PURWOKERTO")</f>
        <v>UNIVERSITAS MUHAMMADIYAH PURWOKERTO</v>
      </c>
      <c r="M11" s="38" t="str">
        <f>IFERROR(__xludf.DUMMYFUNCTION("""COMPUTED_VALUE"""),"APOTEKER")</f>
        <v>APOTEKER</v>
      </c>
      <c r="N11" s="39">
        <f>IFERROR(__xludf.DUMMYFUNCTION("""COMPUTED_VALUE"""),43862)</f>
        <v>43862</v>
      </c>
      <c r="O11" s="39">
        <f>IFERROR(__xludf.DUMMYFUNCTION("""COMPUTED_VALUE"""),46211.4145195486)</f>
        <v>46211.4145195486</v>
      </c>
      <c r="P11" s="38" t="str">
        <f>IFERROR(__xludf.DUMMYFUNCTION("""COMPUTED_VALUE"""),"6 Tahun5 Bulan")</f>
        <v>6 Tahun5 Bulan</v>
      </c>
      <c r="Q11" s="38" t="str">
        <f>IFERROR(__xludf.DUMMYFUNCTION("""COMPUTED_VALUE"""),"Apt.Rawat Jalan")</f>
        <v>Apt.Rawat Jalan</v>
      </c>
      <c r="R11" s="38" t="str">
        <f>IFERROR(__xludf.DUMMYFUNCTION("""COMPUTED_VALUE"""),"PPPK")</f>
        <v>PPPK</v>
      </c>
      <c r="S11" s="38" t="str">
        <f>IFERROR(__xludf.DUMMYFUNCTION("""COMPUTED_VALUE"""),"ZR00000855381057")</f>
        <v>ZR00000855381057</v>
      </c>
      <c r="T11" s="39">
        <f>IFERROR(__xludf.DUMMYFUNCTION("""COMPUTED_VALUE"""),45427)</f>
        <v>45427</v>
      </c>
      <c r="U11" s="39">
        <f>IFERROR(__xludf.DUMMYFUNCTION("""COMPUTED_VALUE"""),46211.4145195717)</f>
        <v>46211.4145195717</v>
      </c>
      <c r="V11" s="38" t="str">
        <f>IFERROR(__xludf.DUMMYFUNCTION("""COMPUTED_VALUE"""),"#NUM!")</f>
        <v>#NUM!</v>
      </c>
      <c r="W11" s="38" t="str">
        <f>IFERROR(__xludf.DUMMYFUNCTION("""COMPUTED_VALUE"""),"19960515/SIPA 64.03/2024/2/343")</f>
        <v>19960515/SIPA 64.03/2024/2/343</v>
      </c>
      <c r="X11" s="39">
        <f>IFERROR(__xludf.DUMMYFUNCTION("""COMPUTED_VALUE"""),47241)</f>
        <v>47241</v>
      </c>
      <c r="Y11" s="39">
        <f>IFERROR(__xludf.DUMMYFUNCTION("""COMPUTED_VALUE"""),46211.4145195833)</f>
        <v>46211.4145195833</v>
      </c>
      <c r="Z11" s="38" t="str">
        <f>IFERROR(__xludf.DUMMYFUNCTION("""COMPUTED_VALUE"""),"2 Tahun9 Bulan")</f>
        <v>2 Tahun9 Bulan</v>
      </c>
      <c r="AA11" s="38" t="str">
        <f>IFERROR(__xludf.DUMMYFUNCTION("""COMPUTED_VALUE"""),"DATA BASE_Images/13.FOTO.025835.jpg")</f>
        <v>DATA BASE_Images/13.FOTO.025835.jpg</v>
      </c>
      <c r="AB11" s="38"/>
      <c r="AC11" s="38"/>
      <c r="AD11" s="38" t="str">
        <f>IFERROR(__xludf.DUMMYFUNCTION("""COMPUTED_VALUE"""),"DATA BASE_Files_/13.FILE STR.021342.pdf")</f>
        <v>DATA BASE_Files_/13.FILE STR.021342.pdf</v>
      </c>
      <c r="AE11" s="38" t="str">
        <f>IFERROR(__xludf.DUMMYFUNCTION("""COMPUTED_VALUE"""),"DATA BASE_Files_/13.FILE SIPA.004253.pdf")</f>
        <v>DATA BASE_Files_/13.FILE SIPA.004253.pdf</v>
      </c>
      <c r="AF11" s="38" t="str">
        <f>IFERROR(__xludf.DUMMYFUNCTION("""COMPUTED_VALUE"""),"DATA BASE_Files_/13.FILE RKK.021342.pdf")</f>
        <v>DATA BASE_Files_/13.FILE RKK.021342.pdf</v>
      </c>
      <c r="AG11" s="38"/>
      <c r="AH11" s="38"/>
      <c r="AI11" s="38" t="str">
        <f>IFERROR(__xludf.DUMMYFUNCTION("""COMPUTED_VALUE"""),"5. RAWAT INAP")</f>
        <v>5. RAWAT INAP</v>
      </c>
      <c r="AJ11" s="38"/>
      <c r="AK11" s="38"/>
      <c r="AL11" s="38"/>
      <c r="AM11" s="38"/>
      <c r="AN11" s="38" t="str">
        <f>IFERROR(__xludf.DUMMYFUNCTION("""COMPUTED_VALUE"""),"AKTIF")</f>
        <v>AKTIF</v>
      </c>
    </row>
    <row r="12" ht="12.75" spans="1:50">
      <c r="A12" s="38">
        <f>IFERROR(__xludf.DUMMYFUNCTION("""COMPUTED_VALUE"""),11)</f>
        <v>11</v>
      </c>
      <c r="B12" s="38" t="str">
        <f>IFERROR(__xludf.DUMMYFUNCTION("""COMPUTED_VALUE"""),"apt. Ristianti Aprisia Pratiwi, S.Farm.")</f>
        <v>apt. Ristianti Aprisia Pratiwi, S.Farm.</v>
      </c>
      <c r="C12" s="38" t="str">
        <f>IFERROR(__xludf.DUMMYFUNCTION("""COMPUTED_VALUE"""),"ristiantiaprisiapratiwi.xia1@gmail.com")</f>
        <v>ristiantiaprisiapratiwi.xia1@gmail.com</v>
      </c>
      <c r="D12" s="38" t="str">
        <f>IFERROR(__xludf.DUMMYFUNCTION("""COMPUTED_VALUE"""),"199304112022032021")</f>
        <v>199304112022032021</v>
      </c>
      <c r="E12" s="38" t="str">
        <f>IFERROR(__xludf.DUMMYFUNCTION("""COMPUTED_VALUE"""),"6402065104930002")</f>
        <v>6402065104930002</v>
      </c>
      <c r="F12" s="38" t="str">
        <f>IFERROR(__xludf.DUMMYFUNCTION("""COMPUTED_VALUE"""),"P")</f>
        <v>P</v>
      </c>
      <c r="G12" s="38" t="str">
        <f>IFERROR(__xludf.DUMMYFUNCTION("""COMPUTED_VALUE"""),"Samarinda,11 April 1993")</f>
        <v>Samarinda,11 April 1993</v>
      </c>
      <c r="H12" s="39">
        <f>IFERROR(__xludf.DUMMYFUNCTION("""COMPUTED_VALUE"""),34070)</f>
        <v>34070</v>
      </c>
      <c r="I12" s="38">
        <f>IFERROR(__xludf.DUMMYFUNCTION("""COMPUTED_VALUE"""),33)</f>
        <v>33</v>
      </c>
      <c r="J12" s="38" t="str">
        <f>IFERROR(__xludf.DUMMYFUNCTION("""COMPUTED_VALUE"""),"S1 APOTEKER")</f>
        <v>S1 APOTEKER</v>
      </c>
      <c r="K12" s="38" t="str">
        <f>IFERROR(__xludf.DUMMYFUNCTION("""COMPUTED_VALUE"""),"Jl. Banjar No. 55 RT. 006")</f>
        <v>Jl. Banjar No. 55 RT. 006</v>
      </c>
      <c r="L12" s="38" t="str">
        <f>IFERROR(__xludf.DUMMYFUNCTION("""COMPUTED_VALUE"""),"UNIV.PADJAJARAN")</f>
        <v>UNIV.PADJAJARAN</v>
      </c>
      <c r="M12" s="38" t="str">
        <f>IFERROR(__xludf.DUMMYFUNCTION("""COMPUTED_VALUE"""),"APOTEKER")</f>
        <v>APOTEKER</v>
      </c>
      <c r="N12" s="39">
        <f>IFERROR(__xludf.DUMMYFUNCTION("""COMPUTED_VALUE"""),42461)</f>
        <v>42461</v>
      </c>
      <c r="O12" s="39">
        <f>IFERROR(__xludf.DUMMYFUNCTION("""COMPUTED_VALUE"""),46211.4145195486)</f>
        <v>46211.4145195486</v>
      </c>
      <c r="P12" s="38" t="str">
        <f>IFERROR(__xludf.DUMMYFUNCTION("""COMPUTED_VALUE"""),"10 Tahun3 Bulan")</f>
        <v>10 Tahun3 Bulan</v>
      </c>
      <c r="Q12" s="38" t="str">
        <f>IFERROR(__xludf.DUMMYFUNCTION("""COMPUTED_VALUE"""),"Koor.IGD &amp; IBS")</f>
        <v>Koor.IGD &amp; IBS</v>
      </c>
      <c r="R12" s="38" t="str">
        <f>IFERROR(__xludf.DUMMYFUNCTION("""COMPUTED_VALUE"""),"PNS")</f>
        <v>PNS</v>
      </c>
      <c r="S12" s="38" t="str">
        <f>IFERROR(__xludf.DUMMYFUNCTION("""COMPUTED_VALUE"""),"he00001030747154")</f>
        <v>he00001030747154</v>
      </c>
      <c r="T12" s="39">
        <f>IFERROR(__xludf.DUMMYFUNCTION("""COMPUTED_VALUE"""),45758)</f>
        <v>45758</v>
      </c>
      <c r="U12" s="39">
        <f>IFERROR(__xludf.DUMMYFUNCTION("""COMPUTED_VALUE"""),46211.4145195717)</f>
        <v>46211.4145195717</v>
      </c>
      <c r="V12" s="38" t="str">
        <f>IFERROR(__xludf.DUMMYFUNCTION("""COMPUTED_VALUE"""),"#NUM!")</f>
        <v>#NUM!</v>
      </c>
      <c r="W12" s="38" t="str">
        <f>IFERROR(__xludf.DUMMYFUNCTION("""COMPUTED_VALUE"""),"19930411/SIPA 64.03/2025/2/472")</f>
        <v>19930411/SIPA 64.03/2025/2/472</v>
      </c>
      <c r="X12" s="39">
        <f>IFERROR(__xludf.DUMMYFUNCTION("""COMPUTED_VALUE"""),47556)</f>
        <v>47556</v>
      </c>
      <c r="Y12" s="39">
        <f>IFERROR(__xludf.DUMMYFUNCTION("""COMPUTED_VALUE"""),46211.4145195833)</f>
        <v>46211.4145195833</v>
      </c>
      <c r="Z12" s="38" t="str">
        <f>IFERROR(__xludf.DUMMYFUNCTION("""COMPUTED_VALUE"""),"3 Tahun8 Bulan")</f>
        <v>3 Tahun8 Bulan</v>
      </c>
      <c r="AA12" s="38" t="str">
        <f>IFERROR(__xludf.DUMMYFUNCTION("""COMPUTED_VALUE"""),"DATA BASE_Images/15.FOTO.022956.jpg")</f>
        <v>DATA BASE_Images/15.FOTO.022956.jpg</v>
      </c>
      <c r="AB12" s="38"/>
      <c r="AC12" s="38"/>
      <c r="AD12" s="38" t="str">
        <f>IFERROR(__xludf.DUMMYFUNCTION("""COMPUTED_VALUE"""),"DATA BASE_Files_/15.FILE STR.002507.Farm-STR - Risti Aprisia.pdf")</f>
        <v>DATA BASE_Files_/15.FILE STR.002507.Farm-STR - Risti Aprisia.pdf</v>
      </c>
      <c r="AE12" s="38" t="str">
        <f>IFERROR(__xludf.DUMMYFUNCTION("""COMPUTED_VALUE"""),"DATA BASE_Files_/15.FILE SIPA.002508.Farm_SIP.pdf")</f>
        <v>DATA BASE_Files_/15.FILE SIPA.002508.Farm_SIP.pdf</v>
      </c>
      <c r="AF12" s="38" t="str">
        <f>IFERROR(__xludf.DUMMYFUNCTION("""COMPUTED_VALUE"""),"DATA BASE_Files_/15.FILE RKK.011306.Farm.PDF")</f>
        <v>DATA BASE_Files_/15.FILE RKK.011306.Farm.PDF</v>
      </c>
      <c r="AG12" s="38"/>
      <c r="AH12" s="38"/>
      <c r="AI12" s="38" t="str">
        <f>IFERROR(__xludf.DUMMYFUNCTION("""COMPUTED_VALUE"""),"8. GUDANG FARMASI")</f>
        <v>8. GUDANG FARMASI</v>
      </c>
      <c r="AJ12" s="38"/>
      <c r="AK12" s="38"/>
      <c r="AL12" s="38"/>
      <c r="AM12" s="38"/>
      <c r="AN12" s="38" t="str">
        <f>IFERROR(__xludf.DUMMYFUNCTION("""COMPUTED_VALUE"""),"AKTIF")</f>
        <v>AKTIF</v>
      </c>
    </row>
    <row r="13" ht="12.75" spans="1:50">
      <c r="A13" s="38">
        <f>IFERROR(__xludf.DUMMYFUNCTION("""COMPUTED_VALUE"""),12)</f>
        <v>12</v>
      </c>
      <c r="B13" s="38" t="str">
        <f>IFERROR(__xludf.DUMMYFUNCTION("""COMPUTED_VALUE"""),"apt. Rizka Arianie Rusli, S.Farm.")</f>
        <v>apt. Rizka Arianie Rusli, S.Farm.</v>
      </c>
      <c r="C13" s="38" t="str">
        <f>IFERROR(__xludf.DUMMYFUNCTION("""COMPUTED_VALUE"""),"A@GMAIL.COM")</f>
        <v>A@GMAIL.COM</v>
      </c>
      <c r="D13" s="38" t="str">
        <f>IFERROR(__xludf.DUMMYFUNCTION("""COMPUTED_VALUE"""),"199502272024212005")</f>
        <v>199502272024212005</v>
      </c>
      <c r="E13" s="38" t="str">
        <f>IFERROR(__xludf.DUMMYFUNCTION("""COMPUTED_VALUE"""),"6402066702950004")</f>
        <v>6402066702950004</v>
      </c>
      <c r="F13" s="38" t="str">
        <f>IFERROR(__xludf.DUMMYFUNCTION("""COMPUTED_VALUE"""),"P")</f>
        <v>P</v>
      </c>
      <c r="G13" s="38" t="str">
        <f>IFERROR(__xludf.DUMMYFUNCTION("""COMPUTED_VALUE"""),"Tenggarong,27 Februari 1995")</f>
        <v>Tenggarong,27 Februari 1995</v>
      </c>
      <c r="H13" s="39">
        <f>IFERROR(__xludf.DUMMYFUNCTION("""COMPUTED_VALUE"""),34757)</f>
        <v>34757</v>
      </c>
      <c r="I13" s="38">
        <f>IFERROR(__xludf.DUMMYFUNCTION("""COMPUTED_VALUE"""),31)</f>
        <v>31</v>
      </c>
      <c r="J13" s="38" t="str">
        <f>IFERROR(__xludf.DUMMYFUNCTION("""COMPUTED_VALUE"""),"S1 APOTEKER")</f>
        <v>S1 APOTEKER</v>
      </c>
      <c r="K13" s="38" t="str">
        <f>IFERROR(__xludf.DUMMYFUNCTION("""COMPUTED_VALUE"""),"JL.JENDRAL SUDIRMAN NO.10 RT.IV KEL.MELAYU KEC.TENGGARONG")</f>
        <v>JL.JENDRAL SUDIRMAN NO.10 RT.IV KEL.MELAYU KEC.TENGGARONG</v>
      </c>
      <c r="L13" s="38" t="str">
        <f>IFERROR(__xludf.DUMMYFUNCTION("""COMPUTED_VALUE"""),"UNIVERSITAS SURABAYA")</f>
        <v>UNIVERSITAS SURABAYA</v>
      </c>
      <c r="M13" s="38" t="str">
        <f>IFERROR(__xludf.DUMMYFUNCTION("""COMPUTED_VALUE"""),"APOTEKER")</f>
        <v>APOTEKER</v>
      </c>
      <c r="N13" s="39">
        <f>IFERROR(__xludf.DUMMYFUNCTION("""COMPUTED_VALUE"""),43586)</f>
        <v>43586</v>
      </c>
      <c r="O13" s="39">
        <f>IFERROR(__xludf.DUMMYFUNCTION("""COMPUTED_VALUE"""),46211.4145195486)</f>
        <v>46211.4145195486</v>
      </c>
      <c r="P13" s="38" t="str">
        <f>IFERROR(__xludf.DUMMYFUNCTION("""COMPUTED_VALUE"""),"7 Tahun2 Bulan")</f>
        <v>7 Tahun2 Bulan</v>
      </c>
      <c r="Q13" s="38" t="str">
        <f>IFERROR(__xludf.DUMMYFUNCTION("""COMPUTED_VALUE"""),"Koor.Rawat inap")</f>
        <v>Koor.Rawat inap</v>
      </c>
      <c r="R13" s="38" t="str">
        <f>IFERROR(__xludf.DUMMYFUNCTION("""COMPUTED_VALUE"""),"PPPK")</f>
        <v>PPPK</v>
      </c>
      <c r="S13" s="38" t="str">
        <f>IFERROR(__xludf.DUMMYFUNCTION("""COMPUTED_VALUE"""),"19950227/STRA-UBAYA/2017/248725")</f>
        <v>19950227/STRA-UBAYA/2017/248725</v>
      </c>
      <c r="T13" s="39">
        <f>IFERROR(__xludf.DUMMYFUNCTION("""COMPUTED_VALUE"""),46445)</f>
        <v>46445</v>
      </c>
      <c r="U13" s="39">
        <f>IFERROR(__xludf.DUMMYFUNCTION("""COMPUTED_VALUE"""),46211.4145195717)</f>
        <v>46211.4145195717</v>
      </c>
      <c r="V13" s="38" t="str">
        <f>IFERROR(__xludf.DUMMYFUNCTION("""COMPUTED_VALUE"""),"0 Tahun7 Bulan")</f>
        <v>0 Tahun7 Bulan</v>
      </c>
      <c r="W13" s="38" t="str">
        <f>IFERROR(__xludf.DUMMYFUNCTION("""COMPUTED_VALUE"""),"19950227/SIPA 64.03/2022/2/093")</f>
        <v>19950227/SIPA 64.03/2022/2/093</v>
      </c>
      <c r="X13" s="39">
        <f>IFERROR(__xludf.DUMMYFUNCTION("""COMPUTED_VALUE"""),46445)</f>
        <v>46445</v>
      </c>
      <c r="Y13" s="39">
        <f>IFERROR(__xludf.DUMMYFUNCTION("""COMPUTED_VALUE"""),46211.4145195833)</f>
        <v>46211.4145195833</v>
      </c>
      <c r="Z13" s="38" t="str">
        <f>IFERROR(__xludf.DUMMYFUNCTION("""COMPUTED_VALUE"""),"0 Tahun7 Bulan")</f>
        <v>0 Tahun7 Bulan</v>
      </c>
      <c r="AA13" s="38" t="str">
        <f>IFERROR(__xludf.DUMMYFUNCTION("""COMPUTED_VALUE"""),"DATA BASE_Images/16.FOTO.080530.png")</f>
        <v>DATA BASE_Images/16.FOTO.080530.png</v>
      </c>
      <c r="AB13" s="38"/>
      <c r="AC13" s="38"/>
      <c r="AD13" s="38" t="str">
        <f>IFERROR(__xludf.DUMMYFUNCTION("""COMPUTED_VALUE"""),"DATA BASE_Files_/16.FILE STR.080530.pdf")</f>
        <v>DATA BASE_Files_/16.FILE STR.080530.pdf</v>
      </c>
      <c r="AE13" s="38" t="str">
        <f>IFERROR(__xludf.DUMMYFUNCTION("""COMPUTED_VALUE"""),"DATA BASE_Files_/16.FILE SIPA.080530.pdf")</f>
        <v>DATA BASE_Files_/16.FILE SIPA.080530.pdf</v>
      </c>
      <c r="AF13" s="38" t="str">
        <f>IFERROR(__xludf.DUMMYFUNCTION("""COMPUTED_VALUE"""),"DATA BASE_Files_/16.FILE RKK.074351.Farm.PDF")</f>
        <v>DATA BASE_Files_/16.FILE RKK.074351.Farm.PDF</v>
      </c>
      <c r="AG13" s="38"/>
      <c r="AH13" s="38"/>
      <c r="AI13" s="38" t="str">
        <f>IFERROR(__xludf.DUMMYFUNCTION("""COMPUTED_VALUE"""),"5. RAWAT INAP")</f>
        <v>5. RAWAT INAP</v>
      </c>
      <c r="AJ13" s="38"/>
      <c r="AK13" s="38"/>
      <c r="AL13" s="38"/>
      <c r="AM13" s="38"/>
      <c r="AN13" s="38" t="str">
        <f>IFERROR(__xludf.DUMMYFUNCTION("""COMPUTED_VALUE"""),"AKTIF")</f>
        <v>AKTIF</v>
      </c>
    </row>
    <row r="14" ht="12.75" spans="1:50">
      <c r="A14" s="38">
        <f>IFERROR(__xludf.DUMMYFUNCTION("""COMPUTED_VALUE"""),13)</f>
        <v>13</v>
      </c>
      <c r="B14" s="38" t="str">
        <f>IFERROR(__xludf.DUMMYFUNCTION("""COMPUTED_VALUE"""),"Achmad Mustafa, A.Md.Far")</f>
        <v>Achmad Mustafa, A.Md.Far</v>
      </c>
      <c r="C14" s="38" t="str">
        <f>IFERROR(__xludf.DUMMYFUNCTION("""COMPUTED_VALUE"""),"a@gmail.com")</f>
        <v>a@gmail.com</v>
      </c>
      <c r="D14" s="38" t="str">
        <f>IFERROR(__xludf.DUMMYFUNCTION("""COMPUTED_VALUE"""),"198806112024211002")</f>
        <v>198806112024211002</v>
      </c>
      <c r="E14" s="38" t="str">
        <f>IFERROR(__xludf.DUMMYFUNCTION("""COMPUTED_VALUE"""),"6402031106880000")</f>
        <v>6402031106880000</v>
      </c>
      <c r="F14" s="38" t="str">
        <f>IFERROR(__xludf.DUMMYFUNCTION("""COMPUTED_VALUE"""),"L")</f>
        <v>L</v>
      </c>
      <c r="G14" s="38" t="str">
        <f>IFERROR(__xludf.DUMMYFUNCTION("""COMPUTED_VALUE"""),"Samarinda,11 Juni 1988")</f>
        <v>Samarinda,11 Juni 1988</v>
      </c>
      <c r="H14" s="39">
        <f>IFERROR(__xludf.DUMMYFUNCTION("""COMPUTED_VALUE"""),32305)</f>
        <v>32305</v>
      </c>
      <c r="I14" s="38">
        <f>IFERROR(__xludf.DUMMYFUNCTION("""COMPUTED_VALUE"""),38)</f>
        <v>38</v>
      </c>
      <c r="J14" s="38" t="str">
        <f>IFERROR(__xludf.DUMMYFUNCTION("""COMPUTED_VALUE"""),"D3 FARMASI")</f>
        <v>D3 FARMASI</v>
      </c>
      <c r="K14" s="38" t="str">
        <f>IFERROR(__xludf.DUMMYFUNCTION("""COMPUTED_VALUE"""),"JL.MULAWARMAN RT.IX NO.59 KEC LOA JANAN DESA LOA DURI")</f>
        <v>JL.MULAWARMAN RT.IX NO.59 KEC LOA JANAN DESA LOA DURI</v>
      </c>
      <c r="L14" s="38" t="str">
        <f>IFERROR(__xludf.DUMMYFUNCTION("""COMPUTED_VALUE"""),"AKFAR SAMARINDA")</f>
        <v>AKFAR SAMARINDA</v>
      </c>
      <c r="M14" s="38" t="str">
        <f>IFERROR(__xludf.DUMMYFUNCTION("""COMPUTED_VALUE"""),"TTK")</f>
        <v>TTK</v>
      </c>
      <c r="N14" s="39">
        <f>IFERROR(__xludf.DUMMYFUNCTION("""COMPUTED_VALUE"""),42461)</f>
        <v>42461</v>
      </c>
      <c r="O14" s="39">
        <f>IFERROR(__xludf.DUMMYFUNCTION("""COMPUTED_VALUE"""),46211.4145195486)</f>
        <v>46211.4145195486</v>
      </c>
      <c r="P14" s="38" t="str">
        <f>IFERROR(__xludf.DUMMYFUNCTION("""COMPUTED_VALUE"""),"10 Tahun3 Bulan")</f>
        <v>10 Tahun3 Bulan</v>
      </c>
      <c r="Q14" s="38" t="str">
        <f>IFERROR(__xludf.DUMMYFUNCTION("""COMPUTED_VALUE"""),"Staff Onko")</f>
        <v>Staff Onko</v>
      </c>
      <c r="R14" s="38" t="str">
        <f>IFERROR(__xludf.DUMMYFUNCTION("""COMPUTED_VALUE"""),"PPPK")</f>
        <v>PPPK</v>
      </c>
      <c r="S14" s="38" t="str">
        <f>IFERROR(__xludf.DUMMYFUNCTION("""COMPUTED_VALUE"""),"19880611/STRTTK_64/2009/14690")</f>
        <v>19880611/STRTTK_64/2009/14690</v>
      </c>
      <c r="T14" s="39">
        <f>IFERROR(__xludf.DUMMYFUNCTION("""COMPUTED_VALUE"""),46184)</f>
        <v>46184</v>
      </c>
      <c r="U14" s="39">
        <f>IFERROR(__xludf.DUMMYFUNCTION("""COMPUTED_VALUE"""),46211.4145195717)</f>
        <v>46211.4145195717</v>
      </c>
      <c r="V14" s="38" t="str">
        <f>IFERROR(__xludf.DUMMYFUNCTION("""COMPUTED_VALUE"""),"#NUM!")</f>
        <v>#NUM!</v>
      </c>
      <c r="W14" s="38" t="str">
        <f>IFERROR(__xludf.DUMMYFUNCTION("""COMPUTED_VALUE"""),"19880611/SIPTTK 64.03/2021/1015")</f>
        <v>19880611/SIPTTK 64.03/2021/1015</v>
      </c>
      <c r="X14" s="39">
        <f>IFERROR(__xludf.DUMMYFUNCTION("""COMPUTED_VALUE"""),46184)</f>
        <v>46184</v>
      </c>
      <c r="Y14" s="39">
        <f>IFERROR(__xludf.DUMMYFUNCTION("""COMPUTED_VALUE"""),46211.4145195833)</f>
        <v>46211.4145195833</v>
      </c>
      <c r="Z14" s="38" t="str">
        <f>IFERROR(__xludf.DUMMYFUNCTION("""COMPUTED_VALUE"""),"#NUM!")</f>
        <v>#NUM!</v>
      </c>
      <c r="AA14" s="38" t="str">
        <f>IFERROR(__xludf.DUMMYFUNCTION("""COMPUTED_VALUE"""),"DATA BASE_Images/17.FOTO.023009.jpg")</f>
        <v>DATA BASE_Images/17.FOTO.023009.jpg</v>
      </c>
      <c r="AB14" s="38"/>
      <c r="AC14" s="38"/>
      <c r="AD14" s="38" t="str">
        <f>IFERROR(__xludf.DUMMYFUNCTION("""COMPUTED_VALUE"""),"DATA BASE_Files_/17.FILE STR.002604.pdf")</f>
        <v>DATA BASE_Files_/17.FILE STR.002604.pdf</v>
      </c>
      <c r="AE14" s="38" t="str">
        <f>IFERROR(__xludf.DUMMYFUNCTION("""COMPUTED_VALUE"""),"DATA BASE_Files_/17.FILE SIPA.002604.pdf")</f>
        <v>DATA BASE_Files_/17.FILE SIPA.002604.pdf</v>
      </c>
      <c r="AF14" s="38" t="str">
        <f>IFERROR(__xludf.DUMMYFUNCTION("""COMPUTED_VALUE"""),"DATA BASE_Files_/17.FILE RKK.002604.pdf")</f>
        <v>DATA BASE_Files_/17.FILE RKK.002604.pdf</v>
      </c>
      <c r="AG14" s="38"/>
      <c r="AH14" s="38"/>
      <c r="AI14" s="38" t="str">
        <f>IFERROR(__xludf.DUMMYFUNCTION("""COMPUTED_VALUE"""),"5. RAWAT INAP")</f>
        <v>5. RAWAT INAP</v>
      </c>
      <c r="AJ14" s="38"/>
      <c r="AK14" s="38"/>
      <c r="AL14" s="38"/>
      <c r="AM14" s="38"/>
      <c r="AN14" s="38" t="str">
        <f>IFERROR(__xludf.DUMMYFUNCTION("""COMPUTED_VALUE"""),"AKTIF")</f>
        <v>AKTIF</v>
      </c>
    </row>
    <row r="15" ht="12.75" spans="1:50">
      <c r="A15" s="38">
        <f>IFERROR(__xludf.DUMMYFUNCTION("""COMPUTED_VALUE"""),14)</f>
        <v>14</v>
      </c>
      <c r="B15" s="38" t="str">
        <f>IFERROR(__xludf.DUMMYFUNCTION("""COMPUTED_VALUE"""),"Amelia Tri Untari, A.Md.Farm")</f>
        <v>Amelia Tri Untari, A.Md.Farm</v>
      </c>
      <c r="C15" s="38" t="str">
        <f>IFERROR(__xludf.DUMMYFUNCTION("""COMPUTED_VALUE"""),"a@gmail.com")</f>
        <v>a@gmail.com</v>
      </c>
      <c r="D15" s="38" t="str">
        <f>IFERROR(__xludf.DUMMYFUNCTION("""COMPUTED_VALUE"""),"199806172024212001")</f>
        <v>199806172024212001</v>
      </c>
      <c r="E15" s="38" t="str">
        <f>IFERROR(__xludf.DUMMYFUNCTION("""COMPUTED_VALUE"""),"6402024606980006")</f>
        <v>6402024606980006</v>
      </c>
      <c r="F15" s="38" t="str">
        <f>IFERROR(__xludf.DUMMYFUNCTION("""COMPUTED_VALUE"""),"P")</f>
        <v>P</v>
      </c>
      <c r="G15" s="38" t="str">
        <f>IFERROR(__xludf.DUMMYFUNCTION("""COMPUTED_VALUE"""),"Samarinda, 17 Juni 1998")</f>
        <v>Samarinda, 17 Juni 1998</v>
      </c>
      <c r="H15" s="39">
        <f>IFERROR(__xludf.DUMMYFUNCTION("""COMPUTED_VALUE"""),35963)</f>
        <v>35963</v>
      </c>
      <c r="I15" s="38">
        <f>IFERROR(__xludf.DUMMYFUNCTION("""COMPUTED_VALUE"""),28)</f>
        <v>28</v>
      </c>
      <c r="J15" s="38" t="str">
        <f>IFERROR(__xludf.DUMMYFUNCTION("""COMPUTED_VALUE"""),"D3 FARMASI")</f>
        <v>D3 FARMASI</v>
      </c>
      <c r="K15" s="38" t="str">
        <f>IFERROR(__xludf.DUMMYFUNCTION("""COMPUTED_VALUE"""),"JL.R.ISMANUN RT.04 LOH SUMBER")</f>
        <v>JL.R.ISMANUN RT.04 LOH SUMBER</v>
      </c>
      <c r="L15" s="38" t="str">
        <f>IFERROR(__xludf.DUMMYFUNCTION("""COMPUTED_VALUE"""),"AKFAR SAMARINDA")</f>
        <v>AKFAR SAMARINDA</v>
      </c>
      <c r="M15" s="38" t="str">
        <f>IFERROR(__xludf.DUMMYFUNCTION("""COMPUTED_VALUE"""),"TTK")</f>
        <v>TTK</v>
      </c>
      <c r="N15" s="39">
        <f>IFERROR(__xludf.DUMMYFUNCTION("""COMPUTED_VALUE"""),44348)</f>
        <v>44348</v>
      </c>
      <c r="O15" s="39">
        <f>IFERROR(__xludf.DUMMYFUNCTION("""COMPUTED_VALUE"""),46211.4145195486)</f>
        <v>46211.4145195486</v>
      </c>
      <c r="P15" s="38" t="str">
        <f>IFERROR(__xludf.DUMMYFUNCTION("""COMPUTED_VALUE"""),"5 Tahun1 Bulan")</f>
        <v>5 Tahun1 Bulan</v>
      </c>
      <c r="Q15" s="38" t="str">
        <f>IFERROR(__xludf.DUMMYFUNCTION("""COMPUTED_VALUE"""),"Staff Rawat Inap")</f>
        <v>Staff Rawat Inap</v>
      </c>
      <c r="R15" s="38" t="str">
        <f>IFERROR(__xludf.DUMMYFUNCTION("""COMPUTED_VALUE"""),"PPPK")</f>
        <v>PPPK</v>
      </c>
      <c r="S15" s="38" t="str">
        <f>IFERROR(__xludf.DUMMYFUNCTION("""COMPUTED_VALUE"""),"19980617/STRTTK-64/2020/24621")</f>
        <v>19980617/STRTTK-64/2020/24621</v>
      </c>
      <c r="T15" s="39">
        <f>IFERROR(__xludf.DUMMYFUNCTION("""COMPUTED_VALUE"""),45825)</f>
        <v>45825</v>
      </c>
      <c r="U15" s="39">
        <f>IFERROR(__xludf.DUMMYFUNCTION("""COMPUTED_VALUE"""),46211.4145195717)</f>
        <v>46211.4145195717</v>
      </c>
      <c r="V15" s="38" t="str">
        <f>IFERROR(__xludf.DUMMYFUNCTION("""COMPUTED_VALUE"""),"#NUM!")</f>
        <v>#NUM!</v>
      </c>
      <c r="W15" s="38" t="str">
        <f>IFERROR(__xludf.DUMMYFUNCTION("""COMPUTED_VALUE"""),"19980617/SIPTTK 64.03/2021/2/044")</f>
        <v>19980617/SIPTTK 64.03/2021/2/044</v>
      </c>
      <c r="X15" s="39">
        <f>IFERROR(__xludf.DUMMYFUNCTION("""COMPUTED_VALUE"""),45825)</f>
        <v>45825</v>
      </c>
      <c r="Y15" s="39">
        <f>IFERROR(__xludf.DUMMYFUNCTION("""COMPUTED_VALUE"""),46211.4145195833)</f>
        <v>46211.4145195833</v>
      </c>
      <c r="Z15" s="38" t="str">
        <f>IFERROR(__xludf.DUMMYFUNCTION("""COMPUTED_VALUE"""),"#NUM!")</f>
        <v>#NUM!</v>
      </c>
      <c r="AA15" s="38" t="str">
        <f>IFERROR(__xludf.DUMMYFUNCTION("""COMPUTED_VALUE"""),"DATA BASE_Images/19.FOTO.024541.jpg")</f>
        <v>DATA BASE_Images/19.FOTO.024541.jpg</v>
      </c>
      <c r="AB15" s="38"/>
      <c r="AC15" s="38"/>
      <c r="AD15" s="38" t="str">
        <f>IFERROR(__xludf.DUMMYFUNCTION("""COMPUTED_VALUE"""),"DATA BASE_Files_/19.FILE STR.013932.pdf")</f>
        <v>DATA BASE_Files_/19.FILE STR.013932.pdf</v>
      </c>
      <c r="AE15" s="38" t="str">
        <f>IFERROR(__xludf.DUMMYFUNCTION("""COMPUTED_VALUE"""),"DATA BASE_Files_/19.FILE SIPA.013933.pdf")</f>
        <v>DATA BASE_Files_/19.FILE SIPA.013933.pdf</v>
      </c>
      <c r="AF15" s="38" t="str">
        <f>IFERROR(__xludf.DUMMYFUNCTION("""COMPUTED_VALUE"""),"DATA BASE_Files_/19.FILE RKK.013932. Farm-SPK RKK - Nabila Safitri.pdf")</f>
        <v>DATA BASE_Files_/19.FILE RKK.013932. Farm-SPK RKK - Nabila Safitri.pdf</v>
      </c>
      <c r="AG15" s="38"/>
      <c r="AH15" s="38"/>
      <c r="AI15" s="38" t="str">
        <f>IFERROR(__xludf.DUMMYFUNCTION("""COMPUTED_VALUE"""),"5. RAWAT INAP")</f>
        <v>5. RAWAT INAP</v>
      </c>
      <c r="AJ15" s="38"/>
      <c r="AK15" s="38"/>
      <c r="AL15" s="38"/>
      <c r="AM15" s="38"/>
      <c r="AN15" s="38" t="str">
        <f>IFERROR(__xludf.DUMMYFUNCTION("""COMPUTED_VALUE"""),"AKTIF")</f>
        <v>AKTIF</v>
      </c>
    </row>
    <row r="16" ht="12.75" spans="1:50">
      <c r="A16" s="38">
        <f>IFERROR(__xludf.DUMMYFUNCTION("""COMPUTED_VALUE"""),15)</f>
        <v>15</v>
      </c>
      <c r="B16" s="38" t="str">
        <f>IFERROR(__xludf.DUMMYFUNCTION("""COMPUTED_VALUE"""),"Andrilidiani, A.Md.Far")</f>
        <v>Andrilidiani, A.Md.Far</v>
      </c>
      <c r="C16" s="38" t="str">
        <f>IFERROR(__xludf.DUMMYFUNCTION("""COMPUTED_VALUE"""),"a@gmail.com")</f>
        <v>a@gmail.com</v>
      </c>
      <c r="D16" s="38" t="str">
        <f>IFERROR(__xludf.DUMMYFUNCTION("""COMPUTED_VALUE"""),"198702222024212003")</f>
        <v>198702222024212003</v>
      </c>
      <c r="E16" s="38" t="str">
        <f>IFERROR(__xludf.DUMMYFUNCTION("""COMPUTED_VALUE"""),"6402066202870001")</f>
        <v>6402066202870001</v>
      </c>
      <c r="F16" s="38" t="str">
        <f>IFERROR(__xludf.DUMMYFUNCTION("""COMPUTED_VALUE"""),"P")</f>
        <v>P</v>
      </c>
      <c r="G16" s="38" t="str">
        <f>IFERROR(__xludf.DUMMYFUNCTION("""COMPUTED_VALUE"""),"Tenggarong,22 Februari 1987")</f>
        <v>Tenggarong,22 Februari 1987</v>
      </c>
      <c r="H16" s="39">
        <f>IFERROR(__xludf.DUMMYFUNCTION("""COMPUTED_VALUE"""),31830)</f>
        <v>31830</v>
      </c>
      <c r="I16" s="38">
        <f>IFERROR(__xludf.DUMMYFUNCTION("""COMPUTED_VALUE"""),39)</f>
        <v>39</v>
      </c>
      <c r="J16" s="38" t="str">
        <f>IFERROR(__xludf.DUMMYFUNCTION("""COMPUTED_VALUE"""),"D3 FARMASI")</f>
        <v>D3 FARMASI</v>
      </c>
      <c r="K16" s="38" t="str">
        <f>IFERROR(__xludf.DUMMYFUNCTION("""COMPUTED_VALUE"""),"JL.MANGKURAJA GG.2 RT.20 KEL.LOA IPUH TENGGARONG")</f>
        <v>JL.MANGKURAJA GG.2 RT.20 KEL.LOA IPUH TENGGARONG</v>
      </c>
      <c r="L16" s="38" t="str">
        <f>IFERROR(__xludf.DUMMYFUNCTION("""COMPUTED_VALUE"""),"AKFAR SAMARINDA")</f>
        <v>AKFAR SAMARINDA</v>
      </c>
      <c r="M16" s="38" t="str">
        <f>IFERROR(__xludf.DUMMYFUNCTION("""COMPUTED_VALUE"""),"TTK")</f>
        <v>TTK</v>
      </c>
      <c r="N16" s="39">
        <f>IFERROR(__xludf.DUMMYFUNCTION("""COMPUTED_VALUE"""),41306)</f>
        <v>41306</v>
      </c>
      <c r="O16" s="39">
        <f>IFERROR(__xludf.DUMMYFUNCTION("""COMPUTED_VALUE"""),46211.4145195486)</f>
        <v>46211.4145195486</v>
      </c>
      <c r="P16" s="38" t="str">
        <f>IFERROR(__xludf.DUMMYFUNCTION("""COMPUTED_VALUE"""),"13 Tahun5 Bulan")</f>
        <v>13 Tahun5 Bulan</v>
      </c>
      <c r="Q16" s="38" t="str">
        <f>IFERROR(__xludf.DUMMYFUNCTION("""COMPUTED_VALUE"""),"Staff Gudang")</f>
        <v>Staff Gudang</v>
      </c>
      <c r="R16" s="38" t="str">
        <f>IFERROR(__xludf.DUMMYFUNCTION("""COMPUTED_VALUE"""),"PPPK")</f>
        <v>PPPK</v>
      </c>
      <c r="S16" s="38" t="str">
        <f>IFERROR(__xludf.DUMMYFUNCTION("""COMPUTED_VALUE"""),"19870222/STRTTK-64/2007/24365")</f>
        <v>19870222/STRTTK-64/2007/24365</v>
      </c>
      <c r="T16" s="39">
        <f>IFERROR(__xludf.DUMMYFUNCTION("""COMPUTED_VALUE"""),45710)</f>
        <v>45710</v>
      </c>
      <c r="U16" s="39">
        <f>IFERROR(__xludf.DUMMYFUNCTION("""COMPUTED_VALUE"""),46211.4145195717)</f>
        <v>46211.4145195717</v>
      </c>
      <c r="V16" s="38" t="str">
        <f>IFERROR(__xludf.DUMMYFUNCTION("""COMPUTED_VALUE"""),"#NUM!")</f>
        <v>#NUM!</v>
      </c>
      <c r="W16" s="38" t="str">
        <f>IFERROR(__xludf.DUMMYFUNCTION("""COMPUTED_VALUE"""),"19870222/SIPTTK/64.03/2020/2045")</f>
        <v>19870222/SIPTTK/64.03/2020/2045</v>
      </c>
      <c r="X16" s="39">
        <f>IFERROR(__xludf.DUMMYFUNCTION("""COMPUTED_VALUE"""),45710)</f>
        <v>45710</v>
      </c>
      <c r="Y16" s="39">
        <f>IFERROR(__xludf.DUMMYFUNCTION("""COMPUTED_VALUE"""),46211.4145195833)</f>
        <v>46211.4145195833</v>
      </c>
      <c r="Z16" s="38" t="str">
        <f>IFERROR(__xludf.DUMMYFUNCTION("""COMPUTED_VALUE"""),"#NUM!")</f>
        <v>#NUM!</v>
      </c>
      <c r="AA16" s="38" t="str">
        <f>IFERROR(__xludf.DUMMYFUNCTION("""COMPUTED_VALUE"""),"DATA BASE_Images/20.FOTO.022840.jpg")</f>
        <v>DATA BASE_Images/20.FOTO.022840.jpg</v>
      </c>
      <c r="AB16" s="38"/>
      <c r="AC16" s="38"/>
      <c r="AD16" s="38" t="str">
        <f>IFERROR(__xludf.DUMMYFUNCTION("""COMPUTED_VALUE"""),"DATA BASE_Files_/20.FILE STR.001130. Far - STRTTK - Andri Lidiani.pdf")</f>
        <v>DATA BASE_Files_/20.FILE STR.001130. Far - STRTTK - Andri Lidiani.pdf</v>
      </c>
      <c r="AE16" s="38" t="str">
        <f>IFERROR(__xludf.DUMMYFUNCTION("""COMPUTED_VALUE"""),"DATA BASE_Files_/20.FILE SIPA.001130. Far - SIP.pdf")</f>
        <v>DATA BASE_Files_/20.FILE SIPA.001130. Far - SIP.pdf</v>
      </c>
      <c r="AF16" s="38" t="str">
        <f>IFERROR(__xludf.DUMMYFUNCTION("""COMPUTED_VALUE"""),"DATA BASE_Files_/20.FILE RKK.001131. Far - RKK - Andri Lidiani.pdf")</f>
        <v>DATA BASE_Files_/20.FILE RKK.001131. Far - RKK - Andri Lidiani.pdf</v>
      </c>
      <c r="AG16" s="38"/>
      <c r="AH16" s="38"/>
      <c r="AI16" s="38" t="str">
        <f>IFERROR(__xludf.DUMMYFUNCTION("""COMPUTED_VALUE"""),"6. RAWAT JALAN")</f>
        <v>6. RAWAT JALAN</v>
      </c>
      <c r="AJ16" s="38"/>
      <c r="AK16" s="38"/>
      <c r="AL16" s="38"/>
      <c r="AM16" s="38"/>
      <c r="AN16" s="38" t="str">
        <f>IFERROR(__xludf.DUMMYFUNCTION("""COMPUTED_VALUE"""),"AKTIF")</f>
        <v>AKTIF</v>
      </c>
    </row>
    <row r="17" ht="12.75" spans="1:40">
      <c r="A17" s="38">
        <f>IFERROR(__xludf.DUMMYFUNCTION("""COMPUTED_VALUE"""),16)</f>
        <v>16</v>
      </c>
      <c r="B17" s="38" t="str">
        <f>IFERROR(__xludf.DUMMYFUNCTION("""COMPUTED_VALUE"""),"Ani Eka Indriyani, A.Md.Farm")</f>
        <v>Ani Eka Indriyani, A.Md.Farm</v>
      </c>
      <c r="C17" s="38" t="str">
        <f>IFERROR(__xludf.DUMMYFUNCTION("""COMPUTED_VALUE"""),"a@gmail.com")</f>
        <v>a@gmail.com</v>
      </c>
      <c r="D17" s="38" t="str">
        <f>IFERROR(__xludf.DUMMYFUNCTION("""COMPUTED_VALUE"""),"199701062025212058")</f>
        <v>199701062025212058</v>
      </c>
      <c r="E17" s="38" t="str">
        <f>IFERROR(__xludf.DUMMYFUNCTION("""COMPUTED_VALUE"""),"6402034601970001")</f>
        <v>6402034601970001</v>
      </c>
      <c r="F17" s="38" t="str">
        <f>IFERROR(__xludf.DUMMYFUNCTION("""COMPUTED_VALUE"""),"P")</f>
        <v>P</v>
      </c>
      <c r="G17" s="38" t="str">
        <f>IFERROR(__xludf.DUMMYFUNCTION("""COMPUTED_VALUE"""),"Samarinda,6 Januari 1997")</f>
        <v>Samarinda,6 Januari 1997</v>
      </c>
      <c r="H17" s="39">
        <f>IFERROR(__xludf.DUMMYFUNCTION("""COMPUTED_VALUE"""),35582)</f>
        <v>35582</v>
      </c>
      <c r="I17" s="38">
        <f>IFERROR(__xludf.DUMMYFUNCTION("""COMPUTED_VALUE"""),29)</f>
        <v>29</v>
      </c>
      <c r="J17" s="38" t="str">
        <f>IFERROR(__xludf.DUMMYFUNCTION("""COMPUTED_VALUE"""),"D3 FARMASI")</f>
        <v>D3 FARMASI</v>
      </c>
      <c r="K17" s="38" t="str">
        <f>IFERROR(__xludf.DUMMYFUNCTION("""COMPUTED_VALUE"""),"JL.PELITA RT.05 NO.03 DESA PURWAJAYA KEC.LOA JANAN")</f>
        <v>JL.PELITA RT.05 NO.03 DESA PURWAJAYA KEC.LOA JANAN</v>
      </c>
      <c r="L17" s="38" t="str">
        <f>IFERROR(__xludf.DUMMYFUNCTION("""COMPUTED_VALUE"""),"AKADEMI FARMASI SAMARINDA")</f>
        <v>AKADEMI FARMASI SAMARINDA</v>
      </c>
      <c r="M17" s="38" t="str">
        <f>IFERROR(__xludf.DUMMYFUNCTION("""COMPUTED_VALUE"""),"TTK")</f>
        <v>TTK</v>
      </c>
      <c r="N17" s="39">
        <f>IFERROR(__xludf.DUMMYFUNCTION("""COMPUTED_VALUE"""),44594)</f>
        <v>44594</v>
      </c>
      <c r="O17" s="39">
        <f>IFERROR(__xludf.DUMMYFUNCTION("""COMPUTED_VALUE"""),46211.4145195486)</f>
        <v>46211.4145195486</v>
      </c>
      <c r="P17" s="38" t="str">
        <f>IFERROR(__xludf.DUMMYFUNCTION("""COMPUTED_VALUE"""),"4 Tahun5 Bulan")</f>
        <v>4 Tahun5 Bulan</v>
      </c>
      <c r="Q17" s="38" t="str">
        <f>IFERROR(__xludf.DUMMYFUNCTION("""COMPUTED_VALUE"""),"Staff IGD &amp; Ibs")</f>
        <v>Staff IGD &amp; Ibs</v>
      </c>
      <c r="R17" s="38" t="str">
        <f>IFERROR(__xludf.DUMMYFUNCTION("""COMPUTED_VALUE"""),"PPPK PW")</f>
        <v>PPPK PW</v>
      </c>
      <c r="S17" s="38" t="str">
        <f>IFERROR(__xludf.DUMMYFUNCTION("""COMPUTED_VALUE"""),"19970106/STRTTK_64/2017/23608")</f>
        <v>19970106/STRTTK_64/2017/23608</v>
      </c>
      <c r="T17" s="39">
        <f>IFERROR(__xludf.DUMMYFUNCTION("""COMPUTED_VALUE"""),46028)</f>
        <v>46028</v>
      </c>
      <c r="U17" s="39">
        <f>IFERROR(__xludf.DUMMYFUNCTION("""COMPUTED_VALUE"""),46211.4145195717)</f>
        <v>46211.4145195717</v>
      </c>
      <c r="V17" s="38" t="str">
        <f>IFERROR(__xludf.DUMMYFUNCTION("""COMPUTED_VALUE"""),"#NUM!")</f>
        <v>#NUM!</v>
      </c>
      <c r="W17" s="38" t="str">
        <f>IFERROR(__xludf.DUMMYFUNCTION("""COMPUTED_VALUE"""),"19970106/SIPTTK 64.03/2022/2/086")</f>
        <v>19970106/SIPTTK 64.03/2022/2/086</v>
      </c>
      <c r="X17" s="39">
        <f>IFERROR(__xludf.DUMMYFUNCTION("""COMPUTED_VALUE"""),46028)</f>
        <v>46028</v>
      </c>
      <c r="Y17" s="39">
        <f>IFERROR(__xludf.DUMMYFUNCTION("""COMPUTED_VALUE"""),46211.4145195833)</f>
        <v>46211.4145195833</v>
      </c>
      <c r="Z17" s="38" t="str">
        <f>IFERROR(__xludf.DUMMYFUNCTION("""COMPUTED_VALUE"""),"#NUM!")</f>
        <v>#NUM!</v>
      </c>
      <c r="AA17" s="38" t="str">
        <f>IFERROR(__xludf.DUMMYFUNCTION("""COMPUTED_VALUE"""),"DATA BASE_Images/21.FOTO.023823.jpg")</f>
        <v>DATA BASE_Images/21.FOTO.023823.jpg</v>
      </c>
      <c r="AB17" s="38"/>
      <c r="AC17" s="38"/>
      <c r="AD17" s="38" t="str">
        <f>IFERROR(__xludf.DUMMYFUNCTION("""COMPUTED_VALUE"""),"DATA BASE_Files_/21.FILE STR.002821.pdf")</f>
        <v>DATA BASE_Files_/21.FILE STR.002821.pdf</v>
      </c>
      <c r="AE17" s="38" t="str">
        <f>IFERROR(__xludf.DUMMYFUNCTION("""COMPUTED_VALUE"""),"DATA BASE_Files_/21.FILE SIPA.002821.pdf")</f>
        <v>DATA BASE_Files_/21.FILE SIPA.002821.pdf</v>
      </c>
      <c r="AF17" s="38" t="str">
        <f>IFERROR(__xludf.DUMMYFUNCTION("""COMPUTED_VALUE"""),"DATA BASE_Files_/21.FILE RKK.002822.pdf")</f>
        <v>DATA BASE_Files_/21.FILE RKK.002822.pdf</v>
      </c>
      <c r="AG17" s="38"/>
      <c r="AH17" s="38"/>
      <c r="AI17" s="38" t="str">
        <f>IFERROR(__xludf.DUMMYFUNCTION("""COMPUTED_VALUE"""),"3. IGD,IBS &amp;CATHLAB")</f>
        <v>3. IGD,IBS &amp;CATHLAB</v>
      </c>
      <c r="AJ17" s="38"/>
      <c r="AK17" s="38"/>
      <c r="AL17" s="38"/>
      <c r="AM17" s="38"/>
      <c r="AN17" s="38" t="str">
        <f>IFERROR(__xludf.DUMMYFUNCTION("""COMPUTED_VALUE"""),"AKTIF")</f>
        <v>AKTIF</v>
      </c>
    </row>
    <row r="18" ht="12.75" spans="1:40">
      <c r="A18" s="38">
        <f>IFERROR(__xludf.DUMMYFUNCTION("""COMPUTED_VALUE"""),17)</f>
        <v>17</v>
      </c>
      <c r="B18" s="38" t="str">
        <f>IFERROR(__xludf.DUMMYFUNCTION("""COMPUTED_VALUE"""),"Anita Rahim, A.Md.Far")</f>
        <v>Anita Rahim, A.Md.Far</v>
      </c>
      <c r="C18" s="38" t="str">
        <f>IFERROR(__xludf.DUMMYFUNCTION("""COMPUTED_VALUE"""),"aa@gmail.com")</f>
        <v>aa@gmail.com</v>
      </c>
      <c r="D18" s="38" t="str">
        <f>IFERROR(__xludf.DUMMYFUNCTION("""COMPUTED_VALUE"""),"T198708012012022001")</f>
        <v>T198708012012022001</v>
      </c>
      <c r="E18" s="38" t="str">
        <f>IFERROR(__xludf.DUMMYFUNCTION("""COMPUTED_VALUE"""),"6402024108870001")</f>
        <v>6402024108870001</v>
      </c>
      <c r="F18" s="38" t="str">
        <f>IFERROR(__xludf.DUMMYFUNCTION("""COMPUTED_VALUE"""),"P")</f>
        <v>P</v>
      </c>
      <c r="G18" s="38" t="str">
        <f>IFERROR(__xludf.DUMMYFUNCTION("""COMPUTED_VALUE"""),"Samarinda,1 Agustus 1987")</f>
        <v>Samarinda,1 Agustus 1987</v>
      </c>
      <c r="H18" s="39">
        <f>IFERROR(__xludf.DUMMYFUNCTION("""COMPUTED_VALUE"""),31990)</f>
        <v>31990</v>
      </c>
      <c r="I18" s="38">
        <f>IFERROR(__xludf.DUMMYFUNCTION("""COMPUTED_VALUE"""),38)</f>
        <v>38</v>
      </c>
      <c r="J18" s="38" t="str">
        <f>IFERROR(__xludf.DUMMYFUNCTION("""COMPUTED_VALUE"""),"D3 FARMASI")</f>
        <v>D3 FARMASI</v>
      </c>
      <c r="K18" s="38" t="str">
        <f>IFERROR(__xludf.DUMMYFUNCTION("""COMPUTED_VALUE"""),"JL.KH.AKHMAD MUKSIN RT.1 NO 52 GG.3 KEL TIMBAU")</f>
        <v>JL.KH.AKHMAD MUKSIN RT.1 NO 52 GG.3 KEL TIMBAU</v>
      </c>
      <c r="L18" s="38" t="str">
        <f>IFERROR(__xludf.DUMMYFUNCTION("""COMPUTED_VALUE"""),"AKFAR SAMARINDA")</f>
        <v>AKFAR SAMARINDA</v>
      </c>
      <c r="M18" s="38" t="str">
        <f>IFERROR(__xludf.DUMMYFUNCTION("""COMPUTED_VALUE"""),"TTK")</f>
        <v>TTK</v>
      </c>
      <c r="N18" s="39">
        <f>IFERROR(__xludf.DUMMYFUNCTION("""COMPUTED_VALUE"""),40940)</f>
        <v>40940</v>
      </c>
      <c r="O18" s="39">
        <f>IFERROR(__xludf.DUMMYFUNCTION("""COMPUTED_VALUE"""),46211.4145195486)</f>
        <v>46211.4145195486</v>
      </c>
      <c r="P18" s="38" t="str">
        <f>IFERROR(__xludf.DUMMYFUNCTION("""COMPUTED_VALUE"""),"14 Tahun5 Bulan")</f>
        <v>14 Tahun5 Bulan</v>
      </c>
      <c r="Q18" s="38" t="str">
        <f>IFERROR(__xludf.DUMMYFUNCTION("""COMPUTED_VALUE"""),"Staff Onko")</f>
        <v>Staff Onko</v>
      </c>
      <c r="R18" s="38" t="str">
        <f>IFERROR(__xludf.DUMMYFUNCTION("""COMPUTED_VALUE"""),"PPPK")</f>
        <v>PPPK</v>
      </c>
      <c r="S18" s="38" t="str">
        <f>IFERROR(__xludf.DUMMYFUNCTION("""COMPUTED_VALUE"""),"19870801/STRTTK-64/2008/21927")</f>
        <v>19870801/STRTTK-64/2008/21927</v>
      </c>
      <c r="T18" s="39">
        <f>IFERROR(__xludf.DUMMYFUNCTION("""COMPUTED_VALUE"""),45505)</f>
        <v>45505</v>
      </c>
      <c r="U18" s="39">
        <f>IFERROR(__xludf.DUMMYFUNCTION("""COMPUTED_VALUE"""),46211.4145195717)</f>
        <v>46211.4145195717</v>
      </c>
      <c r="V18" s="38" t="str">
        <f>IFERROR(__xludf.DUMMYFUNCTION("""COMPUTED_VALUE"""),"#NUM!")</f>
        <v>#NUM!</v>
      </c>
      <c r="W18" s="38" t="str">
        <f>IFERROR(__xludf.DUMMYFUNCTION("""COMPUTED_VALUE"""),"19870801/SIPTTK 64.03/2024/2/196")</f>
        <v>19870801/SIPTTK 64.03/2024/2/196</v>
      </c>
      <c r="X18" s="39">
        <f>IFERROR(__xludf.DUMMYFUNCTION("""COMPUTED_VALUE"""),47141)</f>
        <v>47141</v>
      </c>
      <c r="Y18" s="39">
        <f>IFERROR(__xludf.DUMMYFUNCTION("""COMPUTED_VALUE"""),46211.4145195833)</f>
        <v>46211.4145195833</v>
      </c>
      <c r="Z18" s="38" t="str">
        <f>IFERROR(__xludf.DUMMYFUNCTION("""COMPUTED_VALUE"""),"2 Tahun6 Bulan")</f>
        <v>2 Tahun6 Bulan</v>
      </c>
      <c r="AA18" s="38" t="str">
        <f>IFERROR(__xludf.DUMMYFUNCTION("""COMPUTED_VALUE"""),"DATA BASE_Images/23.FOTO.030828.jpg")</f>
        <v>DATA BASE_Images/23.FOTO.030828.jpg</v>
      </c>
      <c r="AB18" s="38"/>
      <c r="AC18" s="38"/>
      <c r="AD18" s="38" t="str">
        <f>IFERROR(__xludf.DUMMYFUNCTION("""COMPUTED_VALUE"""),"DATA BASE_Files_/23.FILE STR.022943.pdf")</f>
        <v>DATA BASE_Files_/23.FILE STR.022943.pdf</v>
      </c>
      <c r="AE18" s="38" t="str">
        <f>IFERROR(__xludf.DUMMYFUNCTION("""COMPUTED_VALUE"""),"DATA BASE_Files_/23.FILE SIPA.003833.pdf")</f>
        <v>DATA BASE_Files_/23.FILE SIPA.003833.pdf</v>
      </c>
      <c r="AF18" s="38" t="str">
        <f>IFERROR(__xludf.DUMMYFUNCTION("""COMPUTED_VALUE"""),"DATA BASE_Files_/23.FILE RKK.022943.pdf")</f>
        <v>DATA BASE_Files_/23.FILE RKK.022943.pdf</v>
      </c>
      <c r="AG18" s="38"/>
      <c r="AH18" s="38"/>
      <c r="AI18" s="38" t="str">
        <f>IFERROR(__xludf.DUMMYFUNCTION("""COMPUTED_VALUE"""),"7. UPSS")</f>
        <v>7. UPSS</v>
      </c>
      <c r="AJ18" s="38"/>
      <c r="AK18" s="38"/>
      <c r="AL18" s="38"/>
      <c r="AM18" s="38"/>
      <c r="AN18" s="38" t="str">
        <f>IFERROR(__xludf.DUMMYFUNCTION("""COMPUTED_VALUE"""),"AKTIF")</f>
        <v>AKTIF</v>
      </c>
    </row>
    <row r="19" ht="12.75" spans="1:40">
      <c r="A19" s="38">
        <f>IFERROR(__xludf.DUMMYFUNCTION("""COMPUTED_VALUE"""),18)</f>
        <v>18</v>
      </c>
      <c r="B19" s="38" t="str">
        <f>IFERROR(__xludf.DUMMYFUNCTION("""COMPUTED_VALUE"""),"Desi Ana Susanti, A.Md.Far")</f>
        <v>Desi Ana Susanti, A.Md.Far</v>
      </c>
      <c r="C19" s="38" t="str">
        <f>IFERROR(__xludf.DUMMYFUNCTION("""COMPUTED_VALUE"""),"desianasusanti88@gmail.com")</f>
        <v>desianasusanti88@gmail.com</v>
      </c>
      <c r="D19" s="38" t="str">
        <f>IFERROR(__xludf.DUMMYFUNCTION("""COMPUTED_VALUE"""),"199212112024212002")</f>
        <v>199212112024212002</v>
      </c>
      <c r="E19" s="38" t="str">
        <f>IFERROR(__xludf.DUMMYFUNCTION("""COMPUTED_VALUE"""),"6402165112920002")</f>
        <v>6402165112920002</v>
      </c>
      <c r="F19" s="38" t="str">
        <f>IFERROR(__xludf.DUMMYFUNCTION("""COMPUTED_VALUE"""),"P")</f>
        <v>P</v>
      </c>
      <c r="G19" s="38" t="str">
        <f>IFERROR(__xludf.DUMMYFUNCTION("""COMPUTED_VALUE"""),"Samarinda,11 desember 1992")</f>
        <v>Samarinda,11 desember 1992</v>
      </c>
      <c r="H19" s="40">
        <f>IFERROR(__xludf.DUMMYFUNCTION("""COMPUTED_VALUE"""),33949)</f>
        <v>33949</v>
      </c>
      <c r="I19" s="38">
        <f>IFERROR(__xludf.DUMMYFUNCTION("""COMPUTED_VALUE"""),33)</f>
        <v>33</v>
      </c>
      <c r="J19" s="38" t="str">
        <f>IFERROR(__xludf.DUMMYFUNCTION("""COMPUTED_VALUE"""),"D3 FARMASI")</f>
        <v>D3 FARMASI</v>
      </c>
      <c r="K19" s="38" t="str">
        <f>IFERROR(__xludf.DUMMYFUNCTION("""COMPUTED_VALUE"""),"JL.DESA KARANG TUNGGAL DUSUN MEKAR JAYA RT.10 KEC TENGGARONG")</f>
        <v>JL.DESA KARANG TUNGGAL DUSUN MEKAR JAYA RT.10 KEC TENGGARONG</v>
      </c>
      <c r="L19" s="38" t="str">
        <f>IFERROR(__xludf.DUMMYFUNCTION("""COMPUTED_VALUE"""),"AKFAR SAMARINDA")</f>
        <v>AKFAR SAMARINDA</v>
      </c>
      <c r="M19" s="38" t="str">
        <f>IFERROR(__xludf.DUMMYFUNCTION("""COMPUTED_VALUE"""),"TTK")</f>
        <v>TTK</v>
      </c>
      <c r="N19" s="39">
        <f>IFERROR(__xludf.DUMMYFUNCTION("""COMPUTED_VALUE"""),42095)</f>
        <v>42095</v>
      </c>
      <c r="O19" s="39">
        <f>IFERROR(__xludf.DUMMYFUNCTION("""COMPUTED_VALUE"""),46211.4145195486)</f>
        <v>46211.4145195486</v>
      </c>
      <c r="P19" s="38" t="str">
        <f>IFERROR(__xludf.DUMMYFUNCTION("""COMPUTED_VALUE"""),"11 Tahun3 Bulan")</f>
        <v>11 Tahun3 Bulan</v>
      </c>
      <c r="Q19" s="38" t="str">
        <f>IFERROR(__xludf.DUMMYFUNCTION("""COMPUTED_VALUE"""),"Staff IGD &amp; Ibs")</f>
        <v>Staff IGD &amp; Ibs</v>
      </c>
      <c r="R19" s="38" t="str">
        <f>IFERROR(__xludf.DUMMYFUNCTION("""COMPUTED_VALUE"""),"PPPK")</f>
        <v>PPPK</v>
      </c>
      <c r="S19" s="38" t="str">
        <f>IFERROR(__xludf.DUMMYFUNCTION("""COMPUTED_VALUE"""),"19921211/STRTTK-64/2013/21724")</f>
        <v>19921211/STRTTK-64/2013/21724</v>
      </c>
      <c r="T19" s="39">
        <f>IFERROR(__xludf.DUMMYFUNCTION("""COMPUTED_VALUE"""),45271)</f>
        <v>45271</v>
      </c>
      <c r="U19" s="39">
        <f>IFERROR(__xludf.DUMMYFUNCTION("""COMPUTED_VALUE"""),46211.4145195717)</f>
        <v>46211.4145195717</v>
      </c>
      <c r="V19" s="38" t="str">
        <f>IFERROR(__xludf.DUMMYFUNCTION("""COMPUTED_VALUE"""),"#NUM!")</f>
        <v>#NUM!</v>
      </c>
      <c r="W19" s="38" t="str">
        <f>IFERROR(__xludf.DUMMYFUNCTION("""COMPUTED_VALUE"""),"P-0067/DPMPTSP/PTSP.2/440.37.2/X/2023")</f>
        <v>P-0067/DPMPTSP/PTSP.2/440.37.2/X/2023</v>
      </c>
      <c r="X19" s="39">
        <f>IFERROR(__xludf.DUMMYFUNCTION("""COMPUTED_VALUE"""),47037)</f>
        <v>47037</v>
      </c>
      <c r="Y19" s="39">
        <f>IFERROR(__xludf.DUMMYFUNCTION("""COMPUTED_VALUE"""),46211.4145195833)</f>
        <v>46211.4145195833</v>
      </c>
      <c r="Z19" s="38" t="str">
        <f>IFERROR(__xludf.DUMMYFUNCTION("""COMPUTED_VALUE"""),"2 Tahun3 Bulan")</f>
        <v>2 Tahun3 Bulan</v>
      </c>
      <c r="AA19" s="38" t="str">
        <f>IFERROR(__xludf.DUMMYFUNCTION("""COMPUTED_VALUE"""),"DATA BASE_Images/24.FOTO.023946.png")</f>
        <v>DATA BASE_Images/24.FOTO.023946.png</v>
      </c>
      <c r="AB19" s="38"/>
      <c r="AC19" s="38"/>
      <c r="AD19" s="38" t="str">
        <f>IFERROR(__xludf.DUMMYFUNCTION("""COMPUTED_VALUE"""),"DATA BASE_Files_/24.FILE STR.002903.pdf")</f>
        <v>DATA BASE_Files_/24.FILE STR.002903.pdf</v>
      </c>
      <c r="AE19" s="38" t="str">
        <f>IFERROR(__xludf.DUMMYFUNCTION("""COMPUTED_VALUE"""),"DATA BASE_Files_/24.FILE SIPA.002903.pdf")</f>
        <v>DATA BASE_Files_/24.FILE SIPA.002903.pdf</v>
      </c>
      <c r="AF19" s="38" t="str">
        <f>IFERROR(__xludf.DUMMYFUNCTION("""COMPUTED_VALUE"""),"DATA BASE_Files_/24.FILE RKK.002903.pdf")</f>
        <v>DATA BASE_Files_/24.FILE RKK.002903.pdf</v>
      </c>
      <c r="AG19" s="38"/>
      <c r="AH19" s="38"/>
      <c r="AI19" s="38" t="str">
        <f>IFERROR(__xludf.DUMMYFUNCTION("""COMPUTED_VALUE"""),"3. IGD,IBS &amp;CATHLAB")</f>
        <v>3. IGD,IBS &amp;CATHLAB</v>
      </c>
      <c r="AJ19" s="38"/>
      <c r="AK19" s="38"/>
      <c r="AL19" s="38"/>
      <c r="AM19" s="38"/>
      <c r="AN19" s="38" t="str">
        <f>IFERROR(__xludf.DUMMYFUNCTION("""COMPUTED_VALUE"""),"AKTIF")</f>
        <v>AKTIF</v>
      </c>
    </row>
    <row r="20" ht="12.75" spans="1:40">
      <c r="A20" s="38">
        <f>IFERROR(__xludf.DUMMYFUNCTION("""COMPUTED_VALUE"""),19)</f>
        <v>19</v>
      </c>
      <c r="B20" s="38" t="str">
        <f>IFERROR(__xludf.DUMMYFUNCTION("""COMPUTED_VALUE"""),"Dinah Retno Endah, A.Md.farm")</f>
        <v>Dinah Retno Endah, A.Md.farm</v>
      </c>
      <c r="C20" s="38" t="str">
        <f>IFERROR(__xludf.DUMMYFUNCTION("""COMPUTED_VALUE"""),"a@gmail.com")</f>
        <v>a@gmail.com</v>
      </c>
      <c r="D20" s="38" t="str">
        <f>IFERROR(__xludf.DUMMYFUNCTION("""COMPUTED_VALUE"""),"197112221996032008")</f>
        <v>197112221996032008</v>
      </c>
      <c r="E20" s="38" t="str">
        <f>IFERROR(__xludf.DUMMYFUNCTION("""COMPUTED_VALUE"""),"6402066212710001")</f>
        <v>6402066212710001</v>
      </c>
      <c r="F20" s="38" t="str">
        <f>IFERROR(__xludf.DUMMYFUNCTION("""COMPUTED_VALUE"""),"P")</f>
        <v>P</v>
      </c>
      <c r="G20" s="38" t="str">
        <f>IFERROR(__xludf.DUMMYFUNCTION("""COMPUTED_VALUE"""),"Jakarta,22 desember 1971")</f>
        <v>Jakarta,22 desember 1971</v>
      </c>
      <c r="H20" s="40">
        <f>IFERROR(__xludf.DUMMYFUNCTION("""COMPUTED_VALUE"""),26289)</f>
        <v>26289</v>
      </c>
      <c r="I20" s="38">
        <f>IFERROR(__xludf.DUMMYFUNCTION("""COMPUTED_VALUE"""),54)</f>
        <v>54</v>
      </c>
      <c r="J20" s="38" t="str">
        <f>IFERROR(__xludf.DUMMYFUNCTION("""COMPUTED_VALUE"""),"D3 FARMASI")</f>
        <v>D3 FARMASI</v>
      </c>
      <c r="K20" s="38" t="str">
        <f>IFERROR(__xludf.DUMMYFUNCTION("""COMPUTED_VALUE"""),"Jl. Seluang No. 28 RT. 4")</f>
        <v>Jl. Seluang No. 28 RT. 4</v>
      </c>
      <c r="L20" s="38" t="str">
        <f>IFERROR(__xludf.DUMMYFUNCTION("""COMPUTED_VALUE"""),"AKFAR SAMARINDA")</f>
        <v>AKFAR SAMARINDA</v>
      </c>
      <c r="M20" s="38" t="str">
        <f>IFERROR(__xludf.DUMMYFUNCTION("""COMPUTED_VALUE"""),"TTK")</f>
        <v>TTK</v>
      </c>
      <c r="N20" s="39">
        <f>IFERROR(__xludf.DUMMYFUNCTION("""COMPUTED_VALUE"""),35125)</f>
        <v>35125</v>
      </c>
      <c r="O20" s="39">
        <f>IFERROR(__xludf.DUMMYFUNCTION("""COMPUTED_VALUE"""),46211.4145195486)</f>
        <v>46211.4145195486</v>
      </c>
      <c r="P20" s="38" t="str">
        <f>IFERROR(__xludf.DUMMYFUNCTION("""COMPUTED_VALUE"""),"30 Tahun4 Bulan")</f>
        <v>30 Tahun4 Bulan</v>
      </c>
      <c r="Q20" s="38" t="str">
        <f>IFERROR(__xludf.DUMMYFUNCTION("""COMPUTED_VALUE"""),"Staff Gudang")</f>
        <v>Staff Gudang</v>
      </c>
      <c r="R20" s="38" t="str">
        <f>IFERROR(__xludf.DUMMYFUNCTION("""COMPUTED_VALUE"""),"PNS")</f>
        <v>PNS</v>
      </c>
      <c r="S20" s="38" t="str">
        <f>IFERROR(__xludf.DUMMYFUNCTION("""COMPUTED_VALUE"""),"19711222/STRTTK_64/2018/23893")</f>
        <v>19711222/STRTTK_64/2018/23893</v>
      </c>
      <c r="T20" s="39">
        <f>IFERROR(__xludf.DUMMYFUNCTION("""COMPUTED_VALUE"""),45282)</f>
        <v>45282</v>
      </c>
      <c r="U20" s="39">
        <f>IFERROR(__xludf.DUMMYFUNCTION("""COMPUTED_VALUE"""),46211.4145195717)</f>
        <v>46211.4145195717</v>
      </c>
      <c r="V20" s="38" t="str">
        <f>IFERROR(__xludf.DUMMYFUNCTION("""COMPUTED_VALUE"""),"#NUM!")</f>
        <v>#NUM!</v>
      </c>
      <c r="W20" s="38" t="str">
        <f>IFERROR(__xludf.DUMMYFUNCTION("""COMPUTED_VALUE"""),"19711222/SIPTTK 64.03/2004/2/194")</f>
        <v>19711222/SIPTTK 64.03/2004/2/194</v>
      </c>
      <c r="X20" s="39">
        <f>IFERROR(__xludf.DUMMYFUNCTION("""COMPUTED_VALUE"""),46013)</f>
        <v>46013</v>
      </c>
      <c r="Y20" s="39">
        <f>IFERROR(__xludf.DUMMYFUNCTION("""COMPUTED_VALUE"""),46211.4145195833)</f>
        <v>46211.4145195833</v>
      </c>
      <c r="Z20" s="38" t="str">
        <f>IFERROR(__xludf.DUMMYFUNCTION("""COMPUTED_VALUE"""),"#NUM!")</f>
        <v>#NUM!</v>
      </c>
      <c r="AA20" s="38" t="str">
        <f>IFERROR(__xludf.DUMMYFUNCTION("""COMPUTED_VALUE"""),"DATA BASE_Images/25.FOTO.031226.jpg")</f>
        <v>DATA BASE_Images/25.FOTO.031226.jpg</v>
      </c>
      <c r="AB20" s="38"/>
      <c r="AC20" s="38"/>
      <c r="AD20" s="38" t="str">
        <f>IFERROR(__xludf.DUMMYFUNCTION("""COMPUTED_VALUE"""),"DATA BASE_Files_/25.FILE STR.050220.,Farm-SIP - Dinah Retno Endah.pdf")</f>
        <v>DATA BASE_Files_/25.FILE STR.050220.,Farm-SIP - Dinah Retno Endah.pdf</v>
      </c>
      <c r="AE20" s="38" t="str">
        <f>IFERROR(__xludf.DUMMYFUNCTION("""COMPUTED_VALUE"""),"DATA BASE_Files_/25.FILE SIPA.050220.,Farm-SIP - Dinah Retno Endah.pdf")</f>
        <v>DATA BASE_Files_/25.FILE SIPA.050220.,Farm-SIP - Dinah Retno Endah.pdf</v>
      </c>
      <c r="AF20" s="38" t="str">
        <f>IFERROR(__xludf.DUMMYFUNCTION("""COMPUTED_VALUE"""),"DATA BASE_Files_/25.FILE RKK.050220.-SPK-RKK - Dinah Retno Endah.pdf")</f>
        <v>DATA BASE_Files_/25.FILE RKK.050220.-SPK-RKK - Dinah Retno Endah.pdf</v>
      </c>
      <c r="AG20" s="38"/>
      <c r="AH20" s="38"/>
      <c r="AI20" s="38" t="str">
        <f>IFERROR(__xludf.DUMMYFUNCTION("""COMPUTED_VALUE"""),"8. GUDANG FARMASI")</f>
        <v>8. GUDANG FARMASI</v>
      </c>
      <c r="AJ20" s="38"/>
      <c r="AK20" s="38"/>
      <c r="AL20" s="38"/>
      <c r="AM20" s="38"/>
      <c r="AN20" s="38" t="str">
        <f>IFERROR(__xludf.DUMMYFUNCTION("""COMPUTED_VALUE"""),"AKTIF")</f>
        <v>AKTIF</v>
      </c>
    </row>
    <row r="21" ht="12.75" spans="1:40">
      <c r="A21" s="38">
        <f>IFERROR(__xludf.DUMMYFUNCTION("""COMPUTED_VALUE"""),20)</f>
        <v>20</v>
      </c>
      <c r="B21" s="38" t="str">
        <f>IFERROR(__xludf.DUMMYFUNCTION("""COMPUTED_VALUE"""),"Elly Suzanawati, A.Md.AF")</f>
        <v>Elly Suzanawati, A.Md.AF</v>
      </c>
      <c r="C21" s="38" t="str">
        <f>IFERROR(__xludf.DUMMYFUNCTION("""COMPUTED_VALUE"""),"a@gmail.com")</f>
        <v>a@gmail.com</v>
      </c>
      <c r="D21" s="38" t="str">
        <f>IFERROR(__xludf.DUMMYFUNCTION("""COMPUTED_VALUE"""),"T198108142006102001")</f>
        <v>T198108142006102001</v>
      </c>
      <c r="E21" s="38" t="str">
        <f>IFERROR(__xludf.DUMMYFUNCTION("""COMPUTED_VALUE"""),"6402065408810003")</f>
        <v>6402065408810003</v>
      </c>
      <c r="F21" s="38" t="str">
        <f>IFERROR(__xludf.DUMMYFUNCTION("""COMPUTED_VALUE"""),"P")</f>
        <v>P</v>
      </c>
      <c r="G21" s="38" t="str">
        <f>IFERROR(__xludf.DUMMYFUNCTION("""COMPUTED_VALUE"""),"Probolinggo,14 Agustus 1981")</f>
        <v>Probolinggo,14 Agustus 1981</v>
      </c>
      <c r="H21" s="39">
        <f>IFERROR(__xludf.DUMMYFUNCTION("""COMPUTED_VALUE"""),29812)</f>
        <v>29812</v>
      </c>
      <c r="I21" s="38">
        <f>IFERROR(__xludf.DUMMYFUNCTION("""COMPUTED_VALUE"""),44)</f>
        <v>44</v>
      </c>
      <c r="J21" s="38" t="str">
        <f>IFERROR(__xludf.DUMMYFUNCTION("""COMPUTED_VALUE"""),"D3 FARMASI")</f>
        <v>D3 FARMASI</v>
      </c>
      <c r="K21" s="38" t="str">
        <f>IFERROR(__xludf.DUMMYFUNCTION("""COMPUTED_VALUE"""),"ASPOL BHAYANGKARA JL.CEMPAKA NO.12 RT.05 KEL.SUKARAME")</f>
        <v>ASPOL BHAYANGKARA JL.CEMPAKA NO.12 RT.05 KEL.SUKARAME</v>
      </c>
      <c r="L21" s="38" t="str">
        <f>IFERROR(__xludf.DUMMYFUNCTION("""COMPUTED_VALUE"""),"AKAFARMA KEDIRI")</f>
        <v>AKAFARMA KEDIRI</v>
      </c>
      <c r="M21" s="38" t="str">
        <f>IFERROR(__xludf.DUMMYFUNCTION("""COMPUTED_VALUE"""),"TTK")</f>
        <v>TTK</v>
      </c>
      <c r="N21" s="39">
        <f>IFERROR(__xludf.DUMMYFUNCTION("""COMPUTED_VALUE"""),38991)</f>
        <v>38991</v>
      </c>
      <c r="O21" s="39">
        <f>IFERROR(__xludf.DUMMYFUNCTION("""COMPUTED_VALUE"""),46211.4145195486)</f>
        <v>46211.4145195486</v>
      </c>
      <c r="P21" s="38" t="str">
        <f>IFERROR(__xludf.DUMMYFUNCTION("""COMPUTED_VALUE"""),"19 Tahun9 Bulan")</f>
        <v>19 Tahun9 Bulan</v>
      </c>
      <c r="Q21" s="38" t="str">
        <f>IFERROR(__xludf.DUMMYFUNCTION("""COMPUTED_VALUE"""),"Staff Rawat jalan")</f>
        <v>Staff Rawat jalan</v>
      </c>
      <c r="R21" s="38" t="str">
        <f>IFERROR(__xludf.DUMMYFUNCTION("""COMPUTED_VALUE"""),"THL")</f>
        <v>THL</v>
      </c>
      <c r="S21" s="38" t="str">
        <f>IFERROR(__xludf.DUMMYFUNCTION("""COMPUTED_VALUE"""),"19810814/STRTTK_64/2003/24875")</f>
        <v>19810814/STRTTK_64/2003/24875</v>
      </c>
      <c r="T21" s="39">
        <f>IFERROR(__xludf.DUMMYFUNCTION("""COMPUTED_VALUE"""),46248)</f>
        <v>46248</v>
      </c>
      <c r="U21" s="39">
        <f>IFERROR(__xludf.DUMMYFUNCTION("""COMPUTED_VALUE"""),46211.4145195717)</f>
        <v>46211.4145195717</v>
      </c>
      <c r="V21" s="38" t="str">
        <f>IFERROR(__xludf.DUMMYFUNCTION("""COMPUTED_VALUE"""),"0 Tahun1 Bulan")</f>
        <v>0 Tahun1 Bulan</v>
      </c>
      <c r="W21" s="38" t="str">
        <f>IFERROR(__xludf.DUMMYFUNCTION("""COMPUTED_VALUE"""),"19810814/SIPTTK 64.03/2021/2/017")</f>
        <v>19810814/SIPTTK 64.03/2021/2/017</v>
      </c>
      <c r="X21" s="39">
        <f>IFERROR(__xludf.DUMMYFUNCTION("""COMPUTED_VALUE"""),46248)</f>
        <v>46248</v>
      </c>
      <c r="Y21" s="39">
        <f>IFERROR(__xludf.DUMMYFUNCTION("""COMPUTED_VALUE"""),46211.4145195833)</f>
        <v>46211.4145195833</v>
      </c>
      <c r="Z21" s="38" t="str">
        <f>IFERROR(__xludf.DUMMYFUNCTION("""COMPUTED_VALUE"""),"0 Tahun1 Bulan")</f>
        <v>0 Tahun1 Bulan</v>
      </c>
      <c r="AA21" s="38" t="str">
        <f>IFERROR(__xludf.DUMMYFUNCTION("""COMPUTED_VALUE"""),"DATA BASE_Images/27.FOTO.025856.png")</f>
        <v>DATA BASE_Images/27.FOTO.025856.png</v>
      </c>
      <c r="AB21" s="38"/>
      <c r="AC21" s="38"/>
      <c r="AD21" s="38" t="str">
        <f>IFERROR(__xludf.DUMMYFUNCTION("""COMPUTED_VALUE"""),"DATA BASE_Files_/27.FILE STR.021602.pdf")</f>
        <v>DATA BASE_Files_/27.FILE STR.021602.pdf</v>
      </c>
      <c r="AE21" s="38" t="str">
        <f>IFERROR(__xludf.DUMMYFUNCTION("""COMPUTED_VALUE"""),"DATA BASE_Files_/27.FILE SIPA.021601.pdf")</f>
        <v>DATA BASE_Files_/27.FILE SIPA.021601.pdf</v>
      </c>
      <c r="AF21" s="38" t="str">
        <f>IFERROR(__xludf.DUMMYFUNCTION("""COMPUTED_VALUE"""),"DATA BASE_Files_/27.FILE RKK.021601.pdf")</f>
        <v>DATA BASE_Files_/27.FILE RKK.021601.pdf</v>
      </c>
      <c r="AG21" s="38"/>
      <c r="AH21" s="38"/>
      <c r="AI21" s="38" t="str">
        <f>IFERROR(__xludf.DUMMYFUNCTION("""COMPUTED_VALUE"""),"8. GUDANG FARMASI")</f>
        <v>8. GUDANG FARMASI</v>
      </c>
      <c r="AJ21" s="38"/>
      <c r="AK21" s="38"/>
      <c r="AL21" s="38"/>
      <c r="AM21" s="38"/>
      <c r="AN21" s="38" t="str">
        <f>IFERROR(__xludf.DUMMYFUNCTION("""COMPUTED_VALUE"""),"AKTIF")</f>
        <v>AKTIF</v>
      </c>
    </row>
    <row r="22" ht="12.75" spans="1:40">
      <c r="A22" s="38">
        <f>IFERROR(__xludf.DUMMYFUNCTION("""COMPUTED_VALUE"""),21)</f>
        <v>21</v>
      </c>
      <c r="B22" s="38" t="str">
        <f>IFERROR(__xludf.DUMMYFUNCTION("""COMPUTED_VALUE"""),"Evi Kurniawati, A.Md.Farm")</f>
        <v>Evi Kurniawati, A.Md.Farm</v>
      </c>
      <c r="C22" s="38" t="str">
        <f>IFERROR(__xludf.DUMMYFUNCTION("""COMPUTED_VALUE"""),"a@gmail.com")</f>
        <v>a@gmail.com</v>
      </c>
      <c r="D22" s="38" t="str">
        <f>IFERROR(__xludf.DUMMYFUNCTION("""COMPUTED_VALUE"""),"199109022024212005")</f>
        <v>199109022024212005</v>
      </c>
      <c r="E22" s="38" t="str">
        <f>IFERROR(__xludf.DUMMYFUNCTION("""COMPUTED_VALUE"""),"6402064209910003")</f>
        <v>6402064209910003</v>
      </c>
      <c r="F22" s="38" t="str">
        <f>IFERROR(__xludf.DUMMYFUNCTION("""COMPUTED_VALUE"""),"P")</f>
        <v>P</v>
      </c>
      <c r="G22" s="38" t="str">
        <f>IFERROR(__xludf.DUMMYFUNCTION("""COMPUTED_VALUE"""),"Tenggarong, 2 September 1991")</f>
        <v>Tenggarong, 2 September 1991</v>
      </c>
      <c r="H22" s="39">
        <f>IFERROR(__xludf.DUMMYFUNCTION("""COMPUTED_VALUE"""),33483)</f>
        <v>33483</v>
      </c>
      <c r="I22" s="38">
        <f>IFERROR(__xludf.DUMMYFUNCTION("""COMPUTED_VALUE"""),34)</f>
        <v>34</v>
      </c>
      <c r="J22" s="38" t="str">
        <f>IFERROR(__xludf.DUMMYFUNCTION("""COMPUTED_VALUE"""),"D3 FARMASI")</f>
        <v>D3 FARMASI</v>
      </c>
      <c r="K22" s="38" t="str">
        <f>IFERROR(__xludf.DUMMYFUNCTION("""COMPUTED_VALUE"""),"JL.JEND.AHMAD YANI gg.1 no.22 rt.10 kel.melayu kec . tenggarong")</f>
        <v>JL.JEND.AHMAD YANI gg.1 no.22 rt.10 kel.melayu kec . tenggarong</v>
      </c>
      <c r="L22" s="38" t="str">
        <f>IFERROR(__xludf.DUMMYFUNCTION("""COMPUTED_VALUE"""),"SMK FARMASI TENGGARONG")</f>
        <v>SMK FARMASI TENGGARONG</v>
      </c>
      <c r="M22" s="38" t="str">
        <f>IFERROR(__xludf.DUMMYFUNCTION("""COMPUTED_VALUE"""),"TTK")</f>
        <v>TTK</v>
      </c>
      <c r="N22" s="39">
        <f>IFERROR(__xludf.DUMMYFUNCTION("""COMPUTED_VALUE"""),43862)</f>
        <v>43862</v>
      </c>
      <c r="O22" s="39">
        <f>IFERROR(__xludf.DUMMYFUNCTION("""COMPUTED_VALUE"""),46211.4145195486)</f>
        <v>46211.4145195486</v>
      </c>
      <c r="P22" s="38" t="str">
        <f>IFERROR(__xludf.DUMMYFUNCTION("""COMPUTED_VALUE"""),"6 Tahun5 Bulan")</f>
        <v>6 Tahun5 Bulan</v>
      </c>
      <c r="Q22" s="38" t="str">
        <f>IFERROR(__xludf.DUMMYFUNCTION("""COMPUTED_VALUE"""),"Staff Rawat Inap")</f>
        <v>Staff Rawat Inap</v>
      </c>
      <c r="R22" s="38" t="str">
        <f>IFERROR(__xludf.DUMMYFUNCTION("""COMPUTED_VALUE"""),"PPPK")</f>
        <v>PPPK</v>
      </c>
      <c r="S22" s="38" t="str">
        <f>IFERROR(__xludf.DUMMYFUNCTION("""COMPUTED_VALUE"""),"19910902/STRTTK-64/2018/23895")</f>
        <v>19910902/STRTTK-64/2018/23895</v>
      </c>
      <c r="T22" s="39">
        <f>IFERROR(__xludf.DUMMYFUNCTION("""COMPUTED_VALUE"""),46998)</f>
        <v>46998</v>
      </c>
      <c r="U22" s="39">
        <f>IFERROR(__xludf.DUMMYFUNCTION("""COMPUTED_VALUE"""),46211.4145195717)</f>
        <v>46211.4145195717</v>
      </c>
      <c r="V22" s="38" t="str">
        <f>IFERROR(__xludf.DUMMYFUNCTION("""COMPUTED_VALUE"""),"2 Tahun1 Bulan")</f>
        <v>2 Tahun1 Bulan</v>
      </c>
      <c r="W22" s="38" t="str">
        <f>IFERROR(__xludf.DUMMYFUNCTION("""COMPUTED_VALUE"""),"19910902/SIPTTK/64.03/2023/2/165")</f>
        <v>19910902/SIPTTK/64.03/2023/2/165</v>
      </c>
      <c r="X22" s="39">
        <f>IFERROR(__xludf.DUMMYFUNCTION("""COMPUTED_VALUE"""),46998)</f>
        <v>46998</v>
      </c>
      <c r="Y22" s="39">
        <f>IFERROR(__xludf.DUMMYFUNCTION("""COMPUTED_VALUE"""),46211.4145195833)</f>
        <v>46211.4145195833</v>
      </c>
      <c r="Z22" s="38" t="str">
        <f>IFERROR(__xludf.DUMMYFUNCTION("""COMPUTED_VALUE"""),"2 Tahun1 Bulan")</f>
        <v>2 Tahun1 Bulan</v>
      </c>
      <c r="AA22" s="38" t="str">
        <f>IFERROR(__xludf.DUMMYFUNCTION("""COMPUTED_VALUE"""),"DATA BASE_Images/28.FOTO.025055.jpg")</f>
        <v>DATA BASE_Images/28.FOTO.025055.jpg</v>
      </c>
      <c r="AB22" s="38"/>
      <c r="AC22" s="38"/>
      <c r="AD22" s="38" t="str">
        <f>IFERROR(__xludf.DUMMYFUNCTION("""COMPUTED_VALUE"""),"DATA BASE_Files_/28.FILE STR.014136.pdf")</f>
        <v>DATA BASE_Files_/28.FILE STR.014136.pdf</v>
      </c>
      <c r="AE22" s="38" t="str">
        <f>IFERROR(__xludf.DUMMYFUNCTION("""COMPUTED_VALUE"""),"DATA BASE_Files_/28.FILE SIPA.014136.pdf")</f>
        <v>DATA BASE_Files_/28.FILE SIPA.014136.pdf</v>
      </c>
      <c r="AF22" s="38" t="str">
        <f>IFERROR(__xludf.DUMMYFUNCTION("""COMPUTED_VALUE"""),"DATA BASE_Files_/28.FILE RKK.014136.pdf")</f>
        <v>DATA BASE_Files_/28.FILE RKK.014136.pdf</v>
      </c>
      <c r="AG22" s="38"/>
      <c r="AH22" s="38"/>
      <c r="AI22" s="38" t="str">
        <f>IFERROR(__xludf.DUMMYFUNCTION("""COMPUTED_VALUE"""),"5. RAWAT INAP")</f>
        <v>5. RAWAT INAP</v>
      </c>
      <c r="AJ22" s="38"/>
      <c r="AK22" s="38"/>
      <c r="AL22" s="38"/>
      <c r="AM22" s="38"/>
      <c r="AN22" s="38" t="str">
        <f>IFERROR(__xludf.DUMMYFUNCTION("""COMPUTED_VALUE"""),"AKTIF")</f>
        <v>AKTIF</v>
      </c>
    </row>
    <row r="23" ht="12.75" spans="1:40">
      <c r="A23" s="38">
        <f>IFERROR(__xludf.DUMMYFUNCTION("""COMPUTED_VALUE"""),22)</f>
        <v>22</v>
      </c>
      <c r="B23" s="38" t="str">
        <f>IFERROR(__xludf.DUMMYFUNCTION("""COMPUTED_VALUE"""),"Hairun Nissa, A.Md.Farm")</f>
        <v>Hairun Nissa, A.Md.Farm</v>
      </c>
      <c r="C23" s="38" t="str">
        <f>IFERROR(__xludf.DUMMYFUNCTION("""COMPUTED_VALUE"""),"a@gmail.com")</f>
        <v>a@gmail.com</v>
      </c>
      <c r="D23" s="38" t="str">
        <f>IFERROR(__xludf.DUMMYFUNCTION("""COMPUTED_VALUE"""),"199201292024212001")</f>
        <v>199201292024212001</v>
      </c>
      <c r="E23" s="38" t="str">
        <f>IFERROR(__xludf.DUMMYFUNCTION("""COMPUTED_VALUE"""),"6402066901920003")</f>
        <v>6402066901920003</v>
      </c>
      <c r="F23" s="38" t="str">
        <f>IFERROR(__xludf.DUMMYFUNCTION("""COMPUTED_VALUE"""),"P")</f>
        <v>P</v>
      </c>
      <c r="G23" s="38" t="str">
        <f>IFERROR(__xludf.DUMMYFUNCTION("""COMPUTED_VALUE"""),"Sebulu,29 Januari 1992")</f>
        <v>Sebulu,29 Januari 1992</v>
      </c>
      <c r="H23" s="39">
        <f>IFERROR(__xludf.DUMMYFUNCTION("""COMPUTED_VALUE"""),33632)</f>
        <v>33632</v>
      </c>
      <c r="I23" s="38">
        <f>IFERROR(__xludf.DUMMYFUNCTION("""COMPUTED_VALUE"""),34)</f>
        <v>34</v>
      </c>
      <c r="J23" s="38" t="str">
        <f>IFERROR(__xludf.DUMMYFUNCTION("""COMPUTED_VALUE"""),"D3 FARMASI")</f>
        <v>D3 FARMASI</v>
      </c>
      <c r="K23" s="38" t="str">
        <f>IFERROR(__xludf.DUMMYFUNCTION("""COMPUTED_VALUE"""),"JL.AP MANGKUNEGARA RT.1 KEL.TELUK DALAM KEC.TENGGARONG SEB")</f>
        <v>JL.AP MANGKUNEGARA RT.1 KEL.TELUK DALAM KEC.TENGGARONG SEB</v>
      </c>
      <c r="L23" s="38" t="str">
        <f>IFERROR(__xludf.DUMMYFUNCTION("""COMPUTED_VALUE"""),"AKFAR SAMRINDA")</f>
        <v>AKFAR SAMRINDA</v>
      </c>
      <c r="M23" s="38" t="str">
        <f>IFERROR(__xludf.DUMMYFUNCTION("""COMPUTED_VALUE"""),"TTK")</f>
        <v>TTK</v>
      </c>
      <c r="N23" s="39">
        <f>IFERROR(__xludf.DUMMYFUNCTION("""COMPUTED_VALUE"""),43862)</f>
        <v>43862</v>
      </c>
      <c r="O23" s="39">
        <f>IFERROR(__xludf.DUMMYFUNCTION("""COMPUTED_VALUE"""),46211.4145195486)</f>
        <v>46211.4145195486</v>
      </c>
      <c r="P23" s="38" t="str">
        <f>IFERROR(__xludf.DUMMYFUNCTION("""COMPUTED_VALUE"""),"6 Tahun5 Bulan")</f>
        <v>6 Tahun5 Bulan</v>
      </c>
      <c r="Q23" s="38" t="str">
        <f>IFERROR(__xludf.DUMMYFUNCTION("""COMPUTED_VALUE"""),"Staff Rawat Inap")</f>
        <v>Staff Rawat Inap</v>
      </c>
      <c r="R23" s="38" t="str">
        <f>IFERROR(__xludf.DUMMYFUNCTION("""COMPUTED_VALUE"""),"PPPK")</f>
        <v>PPPK</v>
      </c>
      <c r="S23" s="38" t="str">
        <f>IFERROR(__xludf.DUMMYFUNCTION("""COMPUTED_VALUE"""),"19920129/STRTTK-64/2018/23896")</f>
        <v>19920129/STRTTK-64/2018/23896</v>
      </c>
      <c r="T23" s="39">
        <f>IFERROR(__xludf.DUMMYFUNCTION("""COMPUTED_VALUE"""),46416)</f>
        <v>46416</v>
      </c>
      <c r="U23" s="39">
        <f>IFERROR(__xludf.DUMMYFUNCTION("""COMPUTED_VALUE"""),46211.4145195717)</f>
        <v>46211.4145195717</v>
      </c>
      <c r="V23" s="38" t="str">
        <f>IFERROR(__xludf.DUMMYFUNCTION("""COMPUTED_VALUE"""),"0 Tahun6 Bulan")</f>
        <v>0 Tahun6 Bulan</v>
      </c>
      <c r="W23" s="38" t="str">
        <f>IFERROR(__xludf.DUMMYFUNCTION("""COMPUTED_VALUE"""),"19920129/SIPTTK/64.03/2022/2/105")</f>
        <v>19920129/SIPTTK/64.03/2022/2/105</v>
      </c>
      <c r="X23" s="39">
        <f>IFERROR(__xludf.DUMMYFUNCTION("""COMPUTED_VALUE"""),46416)</f>
        <v>46416</v>
      </c>
      <c r="Y23" s="39">
        <f>IFERROR(__xludf.DUMMYFUNCTION("""COMPUTED_VALUE"""),46211.4145195833)</f>
        <v>46211.4145195833</v>
      </c>
      <c r="Z23" s="38" t="str">
        <f>IFERROR(__xludf.DUMMYFUNCTION("""COMPUTED_VALUE"""),"0 Tahun6 Bulan")</f>
        <v>0 Tahun6 Bulan</v>
      </c>
      <c r="AA23" s="38" t="str">
        <f>IFERROR(__xludf.DUMMYFUNCTION("""COMPUTED_VALUE"""),"DATA BASE_Images/29.FOTO.025109.jpg")</f>
        <v>DATA BASE_Images/29.FOTO.025109.jpg</v>
      </c>
      <c r="AB23" s="38"/>
      <c r="AC23" s="38"/>
      <c r="AD23" s="38" t="str">
        <f>IFERROR(__xludf.DUMMYFUNCTION("""COMPUTED_VALUE"""),"DATA BASE_Files_/29.FILE STR.014231.Farm_STRTTK - hairun nissa.pdf")</f>
        <v>DATA BASE_Files_/29.FILE STR.014231.Farm_STRTTK - hairun nissa.pdf</v>
      </c>
      <c r="AE23" s="38" t="str">
        <f>IFERROR(__xludf.DUMMYFUNCTION("""COMPUTED_VALUE"""),"DATA BASE_Files_/29.FILE SIPA.014231.Farm_SIP.pdf")</f>
        <v>DATA BASE_Files_/29.FILE SIPA.014231.Farm_SIP.pdf</v>
      </c>
      <c r="AF23" s="38" t="str">
        <f>IFERROR(__xludf.DUMMYFUNCTION("""COMPUTED_VALUE"""),"DATA BASE_Files_/29.FILE RKK.014231.Farm_RKK - hairun nissa.pdf")</f>
        <v>DATA BASE_Files_/29.FILE RKK.014231.Farm_RKK - hairun nissa.pdf</v>
      </c>
      <c r="AG23" s="38"/>
      <c r="AH23" s="38"/>
      <c r="AI23" s="38" t="str">
        <f>IFERROR(__xludf.DUMMYFUNCTION("""COMPUTED_VALUE"""),"5. RAWAT INAP")</f>
        <v>5. RAWAT INAP</v>
      </c>
      <c r="AJ23" s="38"/>
      <c r="AK23" s="38"/>
      <c r="AL23" s="38"/>
      <c r="AM23" s="38"/>
      <c r="AN23" s="38" t="str">
        <f>IFERROR(__xludf.DUMMYFUNCTION("""COMPUTED_VALUE"""),"AKTIF")</f>
        <v>AKTIF</v>
      </c>
    </row>
    <row r="24" ht="12.75" spans="1:40">
      <c r="A24" s="38">
        <f>IFERROR(__xludf.DUMMYFUNCTION("""COMPUTED_VALUE"""),23)</f>
        <v>23</v>
      </c>
      <c r="B24" s="38" t="str">
        <f>IFERROR(__xludf.DUMMYFUNCTION("""COMPUTED_VALUE"""),"Henny Puspita Wati, A.Md.Far")</f>
        <v>Henny Puspita Wati, A.Md.Far</v>
      </c>
      <c r="C24" s="38" t="str">
        <f>IFERROR(__xludf.DUMMYFUNCTION("""COMPUTED_VALUE"""),"a@gmail.com")</f>
        <v>a@gmail.com</v>
      </c>
      <c r="D24" s="38" t="str">
        <f>IFERROR(__xludf.DUMMYFUNCTION("""COMPUTED_VALUE"""),"199410102025212125")</f>
        <v>199410102025212125</v>
      </c>
      <c r="E24" s="38" t="str">
        <f>IFERROR(__xludf.DUMMYFUNCTION("""COMPUTED_VALUE"""),"6402065010940006")</f>
        <v>6402065010940006</v>
      </c>
      <c r="F24" s="38" t="str">
        <f>IFERROR(__xludf.DUMMYFUNCTION("""COMPUTED_VALUE"""),"P")</f>
        <v>P</v>
      </c>
      <c r="G24" s="38" t="str">
        <f>IFERROR(__xludf.DUMMYFUNCTION("""COMPUTED_VALUE"""),"Amuntai 10 Oktober 1994")</f>
        <v>Amuntai 10 Oktober 1994</v>
      </c>
      <c r="H24" s="40">
        <f>IFERROR(__xludf.DUMMYFUNCTION("""COMPUTED_VALUE"""),34617)</f>
        <v>34617</v>
      </c>
      <c r="I24" s="38">
        <f>IFERROR(__xludf.DUMMYFUNCTION("""COMPUTED_VALUE"""),31)</f>
        <v>31</v>
      </c>
      <c r="J24" s="38" t="str">
        <f>IFERROR(__xludf.DUMMYFUNCTION("""COMPUTED_VALUE"""),"D3 FARMASI")</f>
        <v>D3 FARMASI</v>
      </c>
      <c r="K24" s="38" t="str">
        <f>IFERROR(__xludf.DUMMYFUNCTION("""COMPUTED_VALUE"""),"JL.DANAU MURUNG GG.MITRA WAHYU TENGGARONG")</f>
        <v>JL.DANAU MURUNG GG.MITRA WAHYU TENGGARONG</v>
      </c>
      <c r="L24" s="38" t="str">
        <f>IFERROR(__xludf.DUMMYFUNCTION("""COMPUTED_VALUE"""),"AKADEMI FARMASI SAMARINDA")</f>
        <v>AKADEMI FARMASI SAMARINDA</v>
      </c>
      <c r="M24" s="38" t="str">
        <f>IFERROR(__xludf.DUMMYFUNCTION("""COMPUTED_VALUE"""),"TTK")</f>
        <v>TTK</v>
      </c>
      <c r="N24" s="39">
        <f>IFERROR(__xludf.DUMMYFUNCTION("""COMPUTED_VALUE"""),44228)</f>
        <v>44228</v>
      </c>
      <c r="O24" s="39">
        <f>IFERROR(__xludf.DUMMYFUNCTION("""COMPUTED_VALUE"""),46211.4145195486)</f>
        <v>46211.4145195486</v>
      </c>
      <c r="P24" s="38" t="str">
        <f>IFERROR(__xludf.DUMMYFUNCTION("""COMPUTED_VALUE"""),"5 Tahun5 Bulan")</f>
        <v>5 Tahun5 Bulan</v>
      </c>
      <c r="Q24" s="38" t="str">
        <f>IFERROR(__xludf.DUMMYFUNCTION("""COMPUTED_VALUE"""),"Staff IGD &amp; Ibs")</f>
        <v>Staff IGD &amp; Ibs</v>
      </c>
      <c r="R24" s="38" t="str">
        <f>IFERROR(__xludf.DUMMYFUNCTION("""COMPUTED_VALUE"""),"PPPK PW")</f>
        <v>PPPK PW</v>
      </c>
      <c r="S24" s="38" t="str">
        <f>IFERROR(__xludf.DUMMYFUNCTION("""COMPUTED_VALUE"""),"19941010/STRTTK_64/2015/22837")</f>
        <v>19941010/STRTTK_64/2015/22837</v>
      </c>
      <c r="T24" s="39">
        <f>IFERROR(__xludf.DUMMYFUNCTION("""COMPUTED_VALUE"""),45940)</f>
        <v>45940</v>
      </c>
      <c r="U24" s="39">
        <f>IFERROR(__xludf.DUMMYFUNCTION("""COMPUTED_VALUE"""),46211.4145195717)</f>
        <v>46211.4145195717</v>
      </c>
      <c r="V24" s="38" t="str">
        <f>IFERROR(__xludf.DUMMYFUNCTION("""COMPUTED_VALUE"""),"#NUM!")</f>
        <v>#NUM!</v>
      </c>
      <c r="W24" s="38" t="str">
        <f>IFERROR(__xludf.DUMMYFUNCTION("""COMPUTED_VALUE"""),"19941010/SIPTTK_64.03/2021/015")</f>
        <v>19941010/SIPTTK_64.03/2021/015</v>
      </c>
      <c r="X24" s="39">
        <f>IFERROR(__xludf.DUMMYFUNCTION("""COMPUTED_VALUE"""),45940)</f>
        <v>45940</v>
      </c>
      <c r="Y24" s="39">
        <f>IFERROR(__xludf.DUMMYFUNCTION("""COMPUTED_VALUE"""),46211.4145195833)</f>
        <v>46211.4145195833</v>
      </c>
      <c r="Z24" s="38" t="str">
        <f>IFERROR(__xludf.DUMMYFUNCTION("""COMPUTED_VALUE"""),"#NUM!")</f>
        <v>#NUM!</v>
      </c>
      <c r="AA24" s="38" t="str">
        <f>IFERROR(__xludf.DUMMYFUNCTION("""COMPUTED_VALUE"""),"DATA BASE_Images/30.FOTO.024020.jpg")</f>
        <v>DATA BASE_Images/30.FOTO.024020.jpg</v>
      </c>
      <c r="AB24" s="38"/>
      <c r="AC24" s="38"/>
      <c r="AD24" s="38" t="str">
        <f>IFERROR(__xludf.DUMMYFUNCTION("""COMPUTED_VALUE"""),"DATA BASE_Files_/30.FILE STR.002945.pdf")</f>
        <v>DATA BASE_Files_/30.FILE STR.002945.pdf</v>
      </c>
      <c r="AE24" s="38" t="str">
        <f>IFERROR(__xludf.DUMMYFUNCTION("""COMPUTED_VALUE"""),"DATA BASE_Files_/30.FILE SIPA.002945.pdf")</f>
        <v>DATA BASE_Files_/30.FILE SIPA.002945.pdf</v>
      </c>
      <c r="AF24" s="38" t="str">
        <f>IFERROR(__xludf.DUMMYFUNCTION("""COMPUTED_VALUE"""),"DATA BASE_Files_/30.FILE RKK.002945.pdf")</f>
        <v>DATA BASE_Files_/30.FILE RKK.002945.pdf</v>
      </c>
      <c r="AG24" s="38"/>
      <c r="AH24" s="38"/>
      <c r="AI24" s="38" t="str">
        <f>IFERROR(__xludf.DUMMYFUNCTION("""COMPUTED_VALUE"""),"6. RAWAT JALAN")</f>
        <v>6. RAWAT JALAN</v>
      </c>
      <c r="AJ24" s="38"/>
      <c r="AK24" s="38"/>
      <c r="AL24" s="38"/>
      <c r="AM24" s="38"/>
      <c r="AN24" s="38" t="str">
        <f>IFERROR(__xludf.DUMMYFUNCTION("""COMPUTED_VALUE"""),"AKTIF")</f>
        <v>AKTIF</v>
      </c>
    </row>
    <row r="25" ht="12.75" spans="1:40">
      <c r="A25" s="38">
        <f>IFERROR(__xludf.DUMMYFUNCTION("""COMPUTED_VALUE"""),24)</f>
        <v>24</v>
      </c>
      <c r="B25" s="38" t="str">
        <f>IFERROR(__xludf.DUMMYFUNCTION("""COMPUTED_VALUE"""),"Hj.Fenny Heryani,A.Md.Farm")</f>
        <v>Hj.Fenny Heryani,A.Md.Farm</v>
      </c>
      <c r="C25" s="38" t="str">
        <f>IFERROR(__xludf.DUMMYFUNCTION("""COMPUTED_VALUE"""),"e@gmail.com")</f>
        <v>e@gmail.com</v>
      </c>
      <c r="D25" s="38" t="str">
        <f>IFERROR(__xludf.DUMMYFUNCTION("""COMPUTED_VALUE"""),"197312042000122005")</f>
        <v>197312042000122005</v>
      </c>
      <c r="E25" s="38" t="str">
        <f>IFERROR(__xludf.DUMMYFUNCTION("""COMPUTED_VALUE"""),"6402065010940006")</f>
        <v>6402065010940006</v>
      </c>
      <c r="F25" s="38" t="str">
        <f>IFERROR(__xludf.DUMMYFUNCTION("""COMPUTED_VALUE"""),"P")</f>
        <v>P</v>
      </c>
      <c r="G25" s="38" t="str">
        <f>IFERROR(__xludf.DUMMYFUNCTION("""COMPUTED_VALUE"""),"Awaian, 4 Desember 1973")</f>
        <v>Awaian, 4 Desember 1973</v>
      </c>
      <c r="H25" s="39">
        <f>IFERROR(__xludf.DUMMYFUNCTION("""COMPUTED_VALUE"""),27002)</f>
        <v>27002</v>
      </c>
      <c r="I25" s="38">
        <f>IFERROR(__xludf.DUMMYFUNCTION("""COMPUTED_VALUE"""),52)</f>
        <v>52</v>
      </c>
      <c r="J25" s="38" t="str">
        <f>IFERROR(__xludf.DUMMYFUNCTION("""COMPUTED_VALUE"""),"D3 FARMASI")</f>
        <v>D3 FARMASI</v>
      </c>
      <c r="K25" s="38" t="str">
        <f>IFERROR(__xludf.DUMMYFUNCTION("""COMPUTED_VALUE"""),"JL.GUNUNG BELAH GG.BERINGIN 4 BLOK A RT.45")</f>
        <v>JL.GUNUNG BELAH GG.BERINGIN 4 BLOK A RT.45</v>
      </c>
      <c r="L25" s="38" t="str">
        <f>IFERROR(__xludf.DUMMYFUNCTION("""COMPUTED_VALUE"""),"SMF ISFI BANJARMASIN")</f>
        <v>SMF ISFI BANJARMASIN</v>
      </c>
      <c r="M25" s="38" t="str">
        <f>IFERROR(__xludf.DUMMYFUNCTION("""COMPUTED_VALUE"""),"TTK")</f>
        <v>TTK</v>
      </c>
      <c r="N25" s="39">
        <f>IFERROR(__xludf.DUMMYFUNCTION("""COMPUTED_VALUE"""),36861)</f>
        <v>36861</v>
      </c>
      <c r="O25" s="39">
        <f>IFERROR(__xludf.DUMMYFUNCTION("""COMPUTED_VALUE"""),46211.4145195486)</f>
        <v>46211.4145195486</v>
      </c>
      <c r="P25" s="38" t="str">
        <f>IFERROR(__xludf.DUMMYFUNCTION("""COMPUTED_VALUE"""),"25 Tahun7 Bulan")</f>
        <v>25 Tahun7 Bulan</v>
      </c>
      <c r="Q25" s="38" t="str">
        <f>IFERROR(__xludf.DUMMYFUNCTION("""COMPUTED_VALUE"""),"Staff Rawat jalan")</f>
        <v>Staff Rawat jalan</v>
      </c>
      <c r="R25" s="38" t="str">
        <f>IFERROR(__xludf.DUMMYFUNCTION("""COMPUTED_VALUE"""),"PNS")</f>
        <v>PNS</v>
      </c>
      <c r="S25" s="38" t="str">
        <f>IFERROR(__xludf.DUMMYFUNCTION("""COMPUTED_VALUE"""),"19731204/STRTTK_64/2019/24186")</f>
        <v>19731204/STRTTK_64/2019/24186</v>
      </c>
      <c r="T25" s="39">
        <f>IFERROR(__xludf.DUMMYFUNCTION("""COMPUTED_VALUE"""),45630)</f>
        <v>45630</v>
      </c>
      <c r="U25" s="39">
        <f>IFERROR(__xludf.DUMMYFUNCTION("""COMPUTED_VALUE"""),46211.4145195717)</f>
        <v>46211.4145195717</v>
      </c>
      <c r="V25" s="38" t="str">
        <f>IFERROR(__xludf.DUMMYFUNCTION("""COMPUTED_VALUE"""),"#NUM!")</f>
        <v>#NUM!</v>
      </c>
      <c r="W25" s="38"/>
      <c r="X25" s="39">
        <f>IFERROR(__xludf.DUMMYFUNCTION("""COMPUTED_VALUE"""),45630)</f>
        <v>45630</v>
      </c>
      <c r="Y25" s="39">
        <f>IFERROR(__xludf.DUMMYFUNCTION("""COMPUTED_VALUE"""),46211.4145195833)</f>
        <v>46211.4145195833</v>
      </c>
      <c r="Z25" s="38" t="str">
        <f>IFERROR(__xludf.DUMMYFUNCTION("""COMPUTED_VALUE"""),"#NUM!")</f>
        <v>#NUM!</v>
      </c>
      <c r="AA25" s="38" t="str">
        <f>IFERROR(__xludf.DUMMYFUNCTION("""COMPUTED_VALUE"""),"DATA BASE_Images/31.FOTO.025909.jpg")</f>
        <v>DATA BASE_Images/31.FOTO.025909.jpg</v>
      </c>
      <c r="AB25" s="38"/>
      <c r="AC25" s="38"/>
      <c r="AD25" s="38" t="str">
        <f>IFERROR(__xludf.DUMMYFUNCTION("""COMPUTED_VALUE"""),"DATA BASE_Files_/31.FILE STR.021807.pdf")</f>
        <v>DATA BASE_Files_/31.FILE STR.021807.pdf</v>
      </c>
      <c r="AE25" s="38" t="str">
        <f>IFERROR(__xludf.DUMMYFUNCTION("""COMPUTED_VALUE"""),"DATA BASE_Files_/31.FILE SIPA.021807.pdf")</f>
        <v>DATA BASE_Files_/31.FILE SIPA.021807.pdf</v>
      </c>
      <c r="AF25" s="38" t="str">
        <f>IFERROR(__xludf.DUMMYFUNCTION("""COMPUTED_VALUE"""),"DATA BASE_Files_/31.FILE RKK.021807.pdf")</f>
        <v>DATA BASE_Files_/31.FILE RKK.021807.pdf</v>
      </c>
      <c r="AG25" s="38"/>
      <c r="AH25" s="38"/>
      <c r="AI25" s="38" t="str">
        <f>IFERROR(__xludf.DUMMYFUNCTION("""COMPUTED_VALUE"""),"8. GUDANG FARMASI")</f>
        <v>8. GUDANG FARMASI</v>
      </c>
      <c r="AJ25" s="38"/>
      <c r="AK25" s="38"/>
      <c r="AL25" s="38"/>
      <c r="AM25" s="38"/>
      <c r="AN25" s="38" t="str">
        <f>IFERROR(__xludf.DUMMYFUNCTION("""COMPUTED_VALUE"""),"AKTIF")</f>
        <v>AKTIF</v>
      </c>
    </row>
    <row r="26" ht="12.75" spans="1:40">
      <c r="A26" s="38">
        <f>IFERROR(__xludf.DUMMYFUNCTION("""COMPUTED_VALUE"""),25)</f>
        <v>25</v>
      </c>
      <c r="B26" s="38" t="str">
        <f>IFERROR(__xludf.DUMMYFUNCTION("""COMPUTED_VALUE"""),"Ita Addawiyati, A.Md.Farm")</f>
        <v>Ita Addawiyati, A.Md.Farm</v>
      </c>
      <c r="C26" s="38" t="str">
        <f>IFERROR(__xludf.DUMMYFUNCTION("""COMPUTED_VALUE"""),"A@GMAIL.COM")</f>
        <v>A@GMAIL.COM</v>
      </c>
      <c r="D26" s="41" t="str">
        <f>IFERROR(__xludf.DUMMYFUNCTION("""COMPUTED_VALUE"""),"198010192002122003")</f>
        <v>198010192002122003</v>
      </c>
      <c r="E26" s="38" t="str">
        <f>IFERROR(__xludf.DUMMYFUNCTION("""COMPUTED_VALUE"""),"6307064412730000")</f>
        <v>6307064412730000</v>
      </c>
      <c r="F26" s="38" t="str">
        <f>IFERROR(__xludf.DUMMYFUNCTION("""COMPUTED_VALUE"""),"P")</f>
        <v>P</v>
      </c>
      <c r="G26" s="38" t="str">
        <f>IFERROR(__xludf.DUMMYFUNCTION("""COMPUTED_VALUE"""),"Tenggarong,19 Oktober 1980")</f>
        <v>Tenggarong,19 Oktober 1980</v>
      </c>
      <c r="H26" s="40">
        <f>IFERROR(__xludf.DUMMYFUNCTION("""COMPUTED_VALUE"""),29513)</f>
        <v>29513</v>
      </c>
      <c r="I26" s="38">
        <f>IFERROR(__xludf.DUMMYFUNCTION("""COMPUTED_VALUE"""),45)</f>
        <v>45</v>
      </c>
      <c r="J26" s="38" t="str">
        <f>IFERROR(__xludf.DUMMYFUNCTION("""COMPUTED_VALUE"""),"D3 FARMASI")</f>
        <v>D3 FARMASI</v>
      </c>
      <c r="K26" s="38" t="str">
        <f>IFERROR(__xludf.DUMMYFUNCTION("""COMPUTED_VALUE"""),"JL.AJI IMBUT NO.48")</f>
        <v>JL.AJI IMBUT NO.48</v>
      </c>
      <c r="L26" s="38" t="str">
        <f>IFERROR(__xludf.DUMMYFUNCTION("""COMPUTED_VALUE"""),"SMF ISFI BANJARMASIN")</f>
        <v>SMF ISFI BANJARMASIN</v>
      </c>
      <c r="M26" s="38" t="str">
        <f>IFERROR(__xludf.DUMMYFUNCTION("""COMPUTED_VALUE"""),"TTK")</f>
        <v>TTK</v>
      </c>
      <c r="N26" s="39">
        <f>IFERROR(__xludf.DUMMYFUNCTION("""COMPUTED_VALUE"""),37591)</f>
        <v>37591</v>
      </c>
      <c r="O26" s="39">
        <f>IFERROR(__xludf.DUMMYFUNCTION("""COMPUTED_VALUE"""),46211.4145195486)</f>
        <v>46211.4145195486</v>
      </c>
      <c r="P26" s="38" t="str">
        <f>IFERROR(__xludf.DUMMYFUNCTION("""COMPUTED_VALUE"""),"23 Tahun7 Bulan")</f>
        <v>23 Tahun7 Bulan</v>
      </c>
      <c r="Q26" s="38" t="str">
        <f>IFERROR(__xludf.DUMMYFUNCTION("""COMPUTED_VALUE"""),"Staff Rawat jalan")</f>
        <v>Staff Rawat jalan</v>
      </c>
      <c r="R26" s="38" t="str">
        <f>IFERROR(__xludf.DUMMYFUNCTION("""COMPUTED_VALUE"""),"PNS")</f>
        <v>PNS</v>
      </c>
      <c r="S26" s="38" t="str">
        <f>IFERROR(__xludf.DUMMYFUNCTION("""COMPUTED_VALUE"""),"19801019/STRTTK_64/2018/23225")</f>
        <v>19801019/STRTTK_64/2018/23225</v>
      </c>
      <c r="T26" s="39">
        <f>IFERROR(__xludf.DUMMYFUNCTION("""COMPUTED_VALUE"""),47045)</f>
        <v>47045</v>
      </c>
      <c r="U26" s="39">
        <f>IFERROR(__xludf.DUMMYFUNCTION("""COMPUTED_VALUE"""),46211.4145195717)</f>
        <v>46211.4145195717</v>
      </c>
      <c r="V26" s="38" t="str">
        <f>IFERROR(__xludf.DUMMYFUNCTION("""COMPUTED_VALUE"""),"2 Tahun3 Bulan")</f>
        <v>2 Tahun3 Bulan</v>
      </c>
      <c r="W26" s="38" t="str">
        <f>IFERROR(__xludf.DUMMYFUNCTION("""COMPUTED_VALUE"""),"19801019/SIPTTK/64.03/2023/2/164")</f>
        <v>19801019/SIPTTK/64.03/2023/2/164</v>
      </c>
      <c r="X26" s="39">
        <f>IFERROR(__xludf.DUMMYFUNCTION("""COMPUTED_VALUE"""),47045)</f>
        <v>47045</v>
      </c>
      <c r="Y26" s="39">
        <f>IFERROR(__xludf.DUMMYFUNCTION("""COMPUTED_VALUE"""),46211.4145195833)</f>
        <v>46211.4145195833</v>
      </c>
      <c r="Z26" s="38" t="str">
        <f>IFERROR(__xludf.DUMMYFUNCTION("""COMPUTED_VALUE"""),"2 Tahun3 Bulan")</f>
        <v>2 Tahun3 Bulan</v>
      </c>
      <c r="AA26" s="38" t="str">
        <f>IFERROR(__xludf.DUMMYFUNCTION("""COMPUTED_VALUE"""),"DATA BASE_Images/32.FOTO.025920.jpg")</f>
        <v>DATA BASE_Images/32.FOTO.025920.jpg</v>
      </c>
      <c r="AB26" s="38"/>
      <c r="AC26" s="38"/>
      <c r="AD26" s="38" t="str">
        <f>IFERROR(__xludf.DUMMYFUNCTION("""COMPUTED_VALUE"""),"DATA BASE_Files_/32.FILE STR.021855.pdf")</f>
        <v>DATA BASE_Files_/32.FILE STR.021855.pdf</v>
      </c>
      <c r="AE26" s="38" t="str">
        <f>IFERROR(__xludf.DUMMYFUNCTION("""COMPUTED_VALUE"""),"DATA BASE_Files_/32.FILE SIPA.021856.pdf")</f>
        <v>DATA BASE_Files_/32.FILE SIPA.021856.pdf</v>
      </c>
      <c r="AF26" s="38" t="str">
        <f>IFERROR(__xludf.DUMMYFUNCTION("""COMPUTED_VALUE"""),"DATA BASE_Files_/32.FILE RKK.021855.pdf")</f>
        <v>DATA BASE_Files_/32.FILE RKK.021855.pdf</v>
      </c>
      <c r="AG26" s="38"/>
      <c r="AH26" s="38"/>
      <c r="AI26" s="38" t="str">
        <f>IFERROR(__xludf.DUMMYFUNCTION("""COMPUTED_VALUE"""),"6. RAWAT JALAN")</f>
        <v>6. RAWAT JALAN</v>
      </c>
      <c r="AJ26" s="38"/>
      <c r="AK26" s="38"/>
      <c r="AL26" s="38"/>
      <c r="AM26" s="38"/>
      <c r="AN26" s="38" t="str">
        <f>IFERROR(__xludf.DUMMYFUNCTION("""COMPUTED_VALUE"""),"AKTIF")</f>
        <v>AKTIF</v>
      </c>
    </row>
    <row r="27" ht="12.75" spans="1:40">
      <c r="A27" s="38">
        <f>IFERROR(__xludf.DUMMYFUNCTION("""COMPUTED_VALUE"""),26)</f>
        <v>26</v>
      </c>
      <c r="B27" s="38" t="str">
        <f>IFERROR(__xludf.DUMMYFUNCTION("""COMPUTED_VALUE"""),"Mila Ulfah Farista, A.Md.Far")</f>
        <v>Mila Ulfah Farista, A.Md.Far</v>
      </c>
      <c r="C27" s="38" t="str">
        <f>IFERROR(__xludf.DUMMYFUNCTION("""COMPUTED_VALUE"""),"a@gmail.com")</f>
        <v>a@gmail.com</v>
      </c>
      <c r="D27" s="38" t="str">
        <f>IFERROR(__xludf.DUMMYFUNCTION("""COMPUTED_VALUE"""),"199405162024212005")</f>
        <v>199405162024212005</v>
      </c>
      <c r="E27" s="38" t="str">
        <f>IFERROR(__xludf.DUMMYFUNCTION("""COMPUTED_VALUE"""),"6402055605940001")</f>
        <v>6402055605940001</v>
      </c>
      <c r="F27" s="38" t="str">
        <f>IFERROR(__xludf.DUMMYFUNCTION("""COMPUTED_VALUE"""),"P")</f>
        <v>P</v>
      </c>
      <c r="G27" s="38" t="str">
        <f>IFERROR(__xludf.DUMMYFUNCTION("""COMPUTED_VALUE"""),"Muara Badak,16 Mei 1994")</f>
        <v>Muara Badak,16 Mei 1994</v>
      </c>
      <c r="H27" s="39">
        <f>IFERROR(__xludf.DUMMYFUNCTION("""COMPUTED_VALUE"""),34470)</f>
        <v>34470</v>
      </c>
      <c r="I27" s="38">
        <f>IFERROR(__xludf.DUMMYFUNCTION("""COMPUTED_VALUE"""),32)</f>
        <v>32</v>
      </c>
      <c r="J27" s="38" t="str">
        <f>IFERROR(__xludf.DUMMYFUNCTION("""COMPUTED_VALUE"""),"D3 FARMASI")</f>
        <v>D3 FARMASI</v>
      </c>
      <c r="K27" s="38" t="str">
        <f>IFERROR(__xludf.DUMMYFUNCTION("""COMPUTED_VALUE"""),"JL.H.ISMAIL RT.14 NO.02 MUARA BADAK ULU KEC.MUARA BADAK")</f>
        <v>JL.H.ISMAIL RT.14 NO.02 MUARA BADAK ULU KEC.MUARA BADAK</v>
      </c>
      <c r="L27" s="38" t="str">
        <f>IFERROR(__xludf.DUMMYFUNCTION("""COMPUTED_VALUE"""),"AKFAR SAMARINDA")</f>
        <v>AKFAR SAMARINDA</v>
      </c>
      <c r="M27" s="38" t="str">
        <f>IFERROR(__xludf.DUMMYFUNCTION("""COMPUTED_VALUE"""),"TTK")</f>
        <v>TTK</v>
      </c>
      <c r="N27" s="39">
        <f>IFERROR(__xludf.DUMMYFUNCTION("""COMPUTED_VALUE"""),42461)</f>
        <v>42461</v>
      </c>
      <c r="O27" s="39">
        <f>IFERROR(__xludf.DUMMYFUNCTION("""COMPUTED_VALUE"""),46211.4145195486)</f>
        <v>46211.4145195486</v>
      </c>
      <c r="P27" s="38" t="str">
        <f>IFERROR(__xludf.DUMMYFUNCTION("""COMPUTED_VALUE"""),"10 Tahun3 Bulan")</f>
        <v>10 Tahun3 Bulan</v>
      </c>
      <c r="Q27" s="38" t="str">
        <f>IFERROR(__xludf.DUMMYFUNCTION("""COMPUTED_VALUE"""),"Staff Rawat Inap")</f>
        <v>Staff Rawat Inap</v>
      </c>
      <c r="R27" s="38" t="str">
        <f>IFERROR(__xludf.DUMMYFUNCTION("""COMPUTED_VALUE"""),"PPPK")</f>
        <v>PPPK</v>
      </c>
      <c r="S27" s="38" t="str">
        <f>IFERROR(__xludf.DUMMYFUNCTION("""COMPUTED_VALUE"""),"19940516/STRTTK-64/2015/24282")</f>
        <v>19940516/STRTTK-64/2015/24282</v>
      </c>
      <c r="T27" s="39">
        <f>IFERROR(__xludf.DUMMYFUNCTION("""COMPUTED_VALUE"""),45793)</f>
        <v>45793</v>
      </c>
      <c r="U27" s="39">
        <f>IFERROR(__xludf.DUMMYFUNCTION("""COMPUTED_VALUE"""),46211.4145195717)</f>
        <v>46211.4145195717</v>
      </c>
      <c r="V27" s="38" t="str">
        <f>IFERROR(__xludf.DUMMYFUNCTION("""COMPUTED_VALUE"""),"#NUM!")</f>
        <v>#NUM!</v>
      </c>
      <c r="W27" s="38" t="str">
        <f>IFERROR(__xludf.DUMMYFUNCTION("""COMPUTED_VALUE"""),"19940516/SIPTTK-64.03/2015/24282")</f>
        <v>19940516/SIPTTK-64.03/2015/24282</v>
      </c>
      <c r="X27" s="39">
        <f>IFERROR(__xludf.DUMMYFUNCTION("""COMPUTED_VALUE"""),45793)</f>
        <v>45793</v>
      </c>
      <c r="Y27" s="39">
        <f>IFERROR(__xludf.DUMMYFUNCTION("""COMPUTED_VALUE"""),46211.4145195833)</f>
        <v>46211.4145195833</v>
      </c>
      <c r="Z27" s="38" t="str">
        <f>IFERROR(__xludf.DUMMYFUNCTION("""COMPUTED_VALUE"""),"#NUM!")</f>
        <v>#NUM!</v>
      </c>
      <c r="AA27" s="38" t="str">
        <f>IFERROR(__xludf.DUMMYFUNCTION("""COMPUTED_VALUE"""),"DATA BASE_Images/33.FOTO.030032.jpg")</f>
        <v>DATA BASE_Images/33.FOTO.030032.jpg</v>
      </c>
      <c r="AB27" s="38"/>
      <c r="AC27" s="38"/>
      <c r="AD27" s="38" t="str">
        <f>IFERROR(__xludf.DUMMYFUNCTION("""COMPUTED_VALUE"""),"DATA BASE_Files_/33.FILE STR.021955.pdf")</f>
        <v>DATA BASE_Files_/33.FILE STR.021955.pdf</v>
      </c>
      <c r="AE27" s="38" t="str">
        <f>IFERROR(__xludf.DUMMYFUNCTION("""COMPUTED_VALUE"""),"DATA BASE_Files_/33.FILE SIPA.021955.PDF")</f>
        <v>DATA BASE_Files_/33.FILE SIPA.021955.PDF</v>
      </c>
      <c r="AF27" s="38" t="str">
        <f>IFERROR(__xludf.DUMMYFUNCTION("""COMPUTED_VALUE"""),"DATA BASE_Files_/33.FILE RKK.021955.pdf")</f>
        <v>DATA BASE_Files_/33.FILE RKK.021955.pdf</v>
      </c>
      <c r="AG27" s="38"/>
      <c r="AH27" s="38"/>
      <c r="AI27" s="38" t="str">
        <f>IFERROR(__xludf.DUMMYFUNCTION("""COMPUTED_VALUE"""),"6. RAWAT JALAN")</f>
        <v>6. RAWAT JALAN</v>
      </c>
      <c r="AJ27" s="38"/>
      <c r="AK27" s="38"/>
      <c r="AL27" s="38"/>
      <c r="AM27" s="38"/>
      <c r="AN27" s="38" t="str">
        <f>IFERROR(__xludf.DUMMYFUNCTION("""COMPUTED_VALUE"""),"AKTIF")</f>
        <v>AKTIF</v>
      </c>
    </row>
    <row r="28" ht="12.75" spans="1:40">
      <c r="A28" s="38">
        <f>IFERROR(__xludf.DUMMYFUNCTION("""COMPUTED_VALUE"""),27)</f>
        <v>27</v>
      </c>
      <c r="B28" s="38" t="str">
        <f>IFERROR(__xludf.DUMMYFUNCTION("""COMPUTED_VALUE"""),"Monica Happying, A.Md.Far")</f>
        <v>Monica Happying, A.Md.Far</v>
      </c>
      <c r="C28" s="38" t="str">
        <f>IFERROR(__xludf.DUMMYFUNCTION("""COMPUTED_VALUE"""),"a@gmail.com")</f>
        <v>a@gmail.com</v>
      </c>
      <c r="D28" s="38" t="str">
        <f>IFERROR(__xludf.DUMMYFUNCTION("""COMPUTED_VALUE"""),"199201182025212075")</f>
        <v>199201182025212075</v>
      </c>
      <c r="E28" s="38" t="str">
        <f>IFERROR(__xludf.DUMMYFUNCTION("""COMPUTED_VALUE"""),"6402062803950001")</f>
        <v>6402062803950001</v>
      </c>
      <c r="F28" s="38" t="str">
        <f>IFERROR(__xludf.DUMMYFUNCTION("""COMPUTED_VALUE"""),"P")</f>
        <v>P</v>
      </c>
      <c r="G28" s="38" t="str">
        <f>IFERROR(__xludf.DUMMYFUNCTION("""COMPUTED_VALUE"""),"Tenggarong, 18 Januari 1992")</f>
        <v>Tenggarong, 18 Januari 1992</v>
      </c>
      <c r="H28" s="39">
        <f>IFERROR(__xludf.DUMMYFUNCTION("""COMPUTED_VALUE"""),33621)</f>
        <v>33621</v>
      </c>
      <c r="I28" s="38">
        <f>IFERROR(__xludf.DUMMYFUNCTION("""COMPUTED_VALUE"""),34)</f>
        <v>34</v>
      </c>
      <c r="J28" s="38" t="str">
        <f>IFERROR(__xludf.DUMMYFUNCTION("""COMPUTED_VALUE"""),"D3 FARMASI")</f>
        <v>D3 FARMASI</v>
      </c>
      <c r="K28" s="38" t="str">
        <f>IFERROR(__xludf.DUMMYFUNCTION("""COMPUTED_VALUE"""),"JL.MANGKURAJA GG.2 RT.20 KEL.LOA IPUH TENGGARONG")</f>
        <v>JL.MANGKURAJA GG.2 RT.20 KEL.LOA IPUH TENGGARONG</v>
      </c>
      <c r="L28" s="38" t="str">
        <f>IFERROR(__xludf.DUMMYFUNCTION("""COMPUTED_VALUE"""),"AKFAR SAMARINDA")</f>
        <v>AKFAR SAMARINDA</v>
      </c>
      <c r="M28" s="38" t="str">
        <f>IFERROR(__xludf.DUMMYFUNCTION("""COMPUTED_VALUE"""),"TTK")</f>
        <v>TTK</v>
      </c>
      <c r="N28" s="39">
        <f>IFERROR(__xludf.DUMMYFUNCTION("""COMPUTED_VALUE"""),41306)</f>
        <v>41306</v>
      </c>
      <c r="O28" s="39">
        <f>IFERROR(__xludf.DUMMYFUNCTION("""COMPUTED_VALUE"""),46211.4145195486)</f>
        <v>46211.4145195486</v>
      </c>
      <c r="P28" s="38" t="str">
        <f>IFERROR(__xludf.DUMMYFUNCTION("""COMPUTED_VALUE"""),"13 Tahun5 Bulan")</f>
        <v>13 Tahun5 Bulan</v>
      </c>
      <c r="Q28" s="38" t="str">
        <f>IFERROR(__xludf.DUMMYFUNCTION("""COMPUTED_VALUE"""),"Staff IGD &amp; Ibs")</f>
        <v>Staff IGD &amp; Ibs</v>
      </c>
      <c r="R28" s="38" t="str">
        <f>IFERROR(__xludf.DUMMYFUNCTION("""COMPUTED_VALUE"""),"PPPK PW")</f>
        <v>PPPK PW</v>
      </c>
      <c r="S28" s="38" t="str">
        <f>IFERROR(__xludf.DUMMYFUNCTION("""COMPUTED_VALUE"""),"19920118/STRTTK-64/2012/21478")</f>
        <v>19920118/STRTTK-64/2012/21478</v>
      </c>
      <c r="T28" s="39">
        <f>IFERROR(__xludf.DUMMYFUNCTION("""COMPUTED_VALUE"""),46405)</f>
        <v>46405</v>
      </c>
      <c r="U28" s="39">
        <f>IFERROR(__xludf.DUMMYFUNCTION("""COMPUTED_VALUE"""),46211.4145195717)</f>
        <v>46211.4145195717</v>
      </c>
      <c r="V28" s="38" t="str">
        <f>IFERROR(__xludf.DUMMYFUNCTION("""COMPUTED_VALUE"""),"0 Tahun6 Bulan")</f>
        <v>0 Tahun6 Bulan</v>
      </c>
      <c r="W28" s="38" t="str">
        <f>IFERROR(__xludf.DUMMYFUNCTION("""COMPUTED_VALUE"""),"19920118/SIPTTK/64.03/2022/2/107")</f>
        <v>19920118/SIPTTK/64.03/2022/2/107</v>
      </c>
      <c r="X28" s="39">
        <f>IFERROR(__xludf.DUMMYFUNCTION("""COMPUTED_VALUE"""),46405)</f>
        <v>46405</v>
      </c>
      <c r="Y28" s="39">
        <f>IFERROR(__xludf.DUMMYFUNCTION("""COMPUTED_VALUE"""),46211.4145195833)</f>
        <v>46211.4145195833</v>
      </c>
      <c r="Z28" s="38" t="str">
        <f>IFERROR(__xludf.DUMMYFUNCTION("""COMPUTED_VALUE"""),"0 Tahun6 Bulan")</f>
        <v>0 Tahun6 Bulan</v>
      </c>
      <c r="AA28" s="38" t="str">
        <f>IFERROR(__xludf.DUMMYFUNCTION("""COMPUTED_VALUE"""),"DATA BASE_Images/34.FOTO.024039.jpg")</f>
        <v>DATA BASE_Images/34.FOTO.024039.jpg</v>
      </c>
      <c r="AB28" s="38"/>
      <c r="AC28" s="38"/>
      <c r="AD28" s="38" t="str">
        <f>IFERROR(__xludf.DUMMYFUNCTION("""COMPUTED_VALUE"""),"DATA BASE_Files_/34.FILE STR.003029.FAR - STR - IBS IBS.pdf")</f>
        <v>DATA BASE_Files_/34.FILE STR.003029.FAR - STR - IBS IBS.pdf</v>
      </c>
      <c r="AE28" s="38" t="str">
        <f>IFERROR(__xludf.DUMMYFUNCTION("""COMPUTED_VALUE"""),"DATA BASE_Files_/34.FILE SIPA.003029.FAR - SIP.pdf")</f>
        <v>DATA BASE_Files_/34.FILE SIPA.003029.FAR - SIP.pdf</v>
      </c>
      <c r="AF28" s="38" t="str">
        <f>IFERROR(__xludf.DUMMYFUNCTION("""COMPUTED_VALUE"""),"DATA BASE_Files_/34.FILE RKK.003029.FAR- RKK - IBS IBS.pdf")</f>
        <v>DATA BASE_Files_/34.FILE RKK.003029.FAR- RKK - IBS IBS.pdf</v>
      </c>
      <c r="AG28" s="38"/>
      <c r="AH28" s="38"/>
      <c r="AI28" s="38" t="str">
        <f>IFERROR(__xludf.DUMMYFUNCTION("""COMPUTED_VALUE"""),"5. RAWAT INAP")</f>
        <v>5. RAWAT INAP</v>
      </c>
      <c r="AJ28" s="38"/>
      <c r="AK28" s="38"/>
      <c r="AL28" s="38"/>
      <c r="AM28" s="38"/>
      <c r="AN28" s="38" t="str">
        <f>IFERROR(__xludf.DUMMYFUNCTION("""COMPUTED_VALUE"""),"AKTIF")</f>
        <v>AKTIF</v>
      </c>
    </row>
    <row r="29" ht="12.75" spans="1:40">
      <c r="A29" s="38">
        <f>IFERROR(__xludf.DUMMYFUNCTION("""COMPUTED_VALUE"""),28)</f>
        <v>28</v>
      </c>
      <c r="B29" s="38" t="str">
        <f>IFERROR(__xludf.DUMMYFUNCTION("""COMPUTED_VALUE"""),"Nabila Safitri, A.Md.Farm")</f>
        <v>Nabila Safitri, A.Md.Farm</v>
      </c>
      <c r="C29" s="38" t="str">
        <f>IFERROR(__xludf.DUMMYFUNCTION("""COMPUTED_VALUE"""),"a@gmail.com")</f>
        <v>a@gmail.com</v>
      </c>
      <c r="D29" s="38" t="str">
        <f>IFERROR(__xludf.DUMMYFUNCTION("""COMPUTED_VALUE"""),"199910062024212009")</f>
        <v>199910062024212009</v>
      </c>
      <c r="E29" s="38" t="str">
        <f>IFERROR(__xludf.DUMMYFUNCTION("""COMPUTED_VALUE"""),"6402014610990001")</f>
        <v>6402014610990001</v>
      </c>
      <c r="F29" s="38" t="str">
        <f>IFERROR(__xludf.DUMMYFUNCTION("""COMPUTED_VALUE"""),"P")</f>
        <v>P</v>
      </c>
      <c r="G29" s="38" t="str">
        <f>IFERROR(__xludf.DUMMYFUNCTION("""COMPUTED_VALUE"""),"Jantur, 06 oktober 1999")</f>
        <v>Jantur, 06 oktober 1999</v>
      </c>
      <c r="H29" s="39">
        <f>IFERROR(__xludf.DUMMYFUNCTION("""COMPUTED_VALUE"""),36439)</f>
        <v>36439</v>
      </c>
      <c r="I29" s="38">
        <f>IFERROR(__xludf.DUMMYFUNCTION("""COMPUTED_VALUE"""),26)</f>
        <v>26</v>
      </c>
      <c r="J29" s="38" t="str">
        <f>IFERROR(__xludf.DUMMYFUNCTION("""COMPUTED_VALUE"""),"D3 FARMASI")</f>
        <v>D3 FARMASI</v>
      </c>
      <c r="K29" s="38" t="str">
        <f>IFERROR(__xludf.DUMMYFUNCTION("""COMPUTED_VALUE"""),"JL.PULAU KERAMAT RT.04 DESA JANTUR KEC.MUARA MUNTAI")</f>
        <v>JL.PULAU KERAMAT RT.04 DESA JANTUR KEC.MUARA MUNTAI</v>
      </c>
      <c r="L29" s="38" t="str">
        <f>IFERROR(__xludf.DUMMYFUNCTION("""COMPUTED_VALUE"""),"AKFAR MULAWARMAN")</f>
        <v>AKFAR MULAWARMAN</v>
      </c>
      <c r="M29" s="38" t="str">
        <f>IFERROR(__xludf.DUMMYFUNCTION("""COMPUTED_VALUE"""),"TTK")</f>
        <v>TTK</v>
      </c>
      <c r="N29" s="39">
        <f>IFERROR(__xludf.DUMMYFUNCTION("""COMPUTED_VALUE"""),44348)</f>
        <v>44348</v>
      </c>
      <c r="O29" s="39">
        <f>IFERROR(__xludf.DUMMYFUNCTION("""COMPUTED_VALUE"""),46211.4145195486)</f>
        <v>46211.4145195486</v>
      </c>
      <c r="P29" s="38" t="str">
        <f>IFERROR(__xludf.DUMMYFUNCTION("""COMPUTED_VALUE"""),"5 Tahun1 Bulan")</f>
        <v>5 Tahun1 Bulan</v>
      </c>
      <c r="Q29" s="38" t="str">
        <f>IFERROR(__xludf.DUMMYFUNCTION("""COMPUTED_VALUE"""),"Staff Rawat Inap")</f>
        <v>Staff Rawat Inap</v>
      </c>
      <c r="R29" s="38" t="str">
        <f>IFERROR(__xludf.DUMMYFUNCTION("""COMPUTED_VALUE"""),"PPPK")</f>
        <v>PPPK</v>
      </c>
      <c r="S29" s="38" t="str">
        <f>IFERROR(__xludf.DUMMYFUNCTION("""COMPUTED_VALUE"""),"19991006/STRTTK-64/2020/24520")</f>
        <v>19991006/STRTTK-64/2020/24520</v>
      </c>
      <c r="T29" s="39">
        <f>IFERROR(__xludf.DUMMYFUNCTION("""COMPUTED_VALUE"""),45936)</f>
        <v>45936</v>
      </c>
      <c r="U29" s="39">
        <f>IFERROR(__xludf.DUMMYFUNCTION("""COMPUTED_VALUE"""),46211.4145195717)</f>
        <v>46211.4145195717</v>
      </c>
      <c r="V29" s="38" t="str">
        <f>IFERROR(__xludf.DUMMYFUNCTION("""COMPUTED_VALUE"""),"#NUM!")</f>
        <v>#NUM!</v>
      </c>
      <c r="W29" s="38" t="str">
        <f>IFERROR(__xludf.DUMMYFUNCTION("""COMPUTED_VALUE"""),"19991006/SIPTTK 64.03/2021/2/040")</f>
        <v>19991006/SIPTTK 64.03/2021/2/040</v>
      </c>
      <c r="X29" s="39">
        <f>IFERROR(__xludf.DUMMYFUNCTION("""COMPUTED_VALUE"""),45936)</f>
        <v>45936</v>
      </c>
      <c r="Y29" s="39">
        <f>IFERROR(__xludf.DUMMYFUNCTION("""COMPUTED_VALUE"""),46211.4145195833)</f>
        <v>46211.4145195833</v>
      </c>
      <c r="Z29" s="38" t="str">
        <f>IFERROR(__xludf.DUMMYFUNCTION("""COMPUTED_VALUE"""),"#NUM!")</f>
        <v>#NUM!</v>
      </c>
      <c r="AA29" s="38" t="str">
        <f>IFERROR(__xludf.DUMMYFUNCTION("""COMPUTED_VALUE"""),"DATA BASE_Images/35.FOTO.025130.jpg")</f>
        <v>DATA BASE_Images/35.FOTO.025130.jpg</v>
      </c>
      <c r="AB29" s="38"/>
      <c r="AC29" s="38"/>
      <c r="AD29" s="38" t="str">
        <f>IFERROR(__xludf.DUMMYFUNCTION("""COMPUTED_VALUE"""),"DATA BASE_Files_/35.FILE STR.014340.pdf")</f>
        <v>DATA BASE_Files_/35.FILE STR.014340.pdf</v>
      </c>
      <c r="AE29" s="38" t="str">
        <f>IFERROR(__xludf.DUMMYFUNCTION("""COMPUTED_VALUE"""),"DATA BASE_Files_/35.FILE SIPA.014339.pdf")</f>
        <v>DATA BASE_Files_/35.FILE SIPA.014339.pdf</v>
      </c>
      <c r="AF29" s="38" t="str">
        <f>IFERROR(__xludf.DUMMYFUNCTION("""COMPUTED_VALUE"""),"DATA BASE_Files_/35.FILE RKK.014339.pdf")</f>
        <v>DATA BASE_Files_/35.FILE RKK.014339.pdf</v>
      </c>
      <c r="AG29" s="38"/>
      <c r="AH29" s="38"/>
      <c r="AI29" s="38" t="str">
        <f>IFERROR(__xludf.DUMMYFUNCTION("""COMPUTED_VALUE"""),"6. RAWAT JALAN")</f>
        <v>6. RAWAT JALAN</v>
      </c>
      <c r="AJ29" s="38"/>
      <c r="AK29" s="38"/>
      <c r="AL29" s="38"/>
      <c r="AM29" s="38"/>
      <c r="AN29" s="38" t="str">
        <f>IFERROR(__xludf.DUMMYFUNCTION("""COMPUTED_VALUE"""),"AKTIF")</f>
        <v>AKTIF</v>
      </c>
    </row>
    <row r="30" ht="12.75" spans="1:40">
      <c r="A30" s="38">
        <f>IFERROR(__xludf.DUMMYFUNCTION("""COMPUTED_VALUE"""),29)</f>
        <v>29</v>
      </c>
      <c r="B30" s="38" t="str">
        <f>IFERROR(__xludf.DUMMYFUNCTION("""COMPUTED_VALUE"""),"Nurfitria Dian Hanjaya, Amd. Farm")</f>
        <v>Nurfitria Dian Hanjaya, Amd. Farm</v>
      </c>
      <c r="C30" s="38" t="str">
        <f>IFERROR(__xludf.DUMMYFUNCTION("""COMPUTED_VALUE"""),"a@gmail.com")</f>
        <v>a@gmail.com</v>
      </c>
      <c r="D30" s="38" t="str">
        <f>IFERROR(__xludf.DUMMYFUNCTION("""COMPUTED_VALUE"""),"199504022025212080")</f>
        <v>199504022025212080</v>
      </c>
      <c r="E30" s="38" t="str">
        <f>IFERROR(__xludf.DUMMYFUNCTION("""COMPUTED_VALUE"""),"6402034204950003")</f>
        <v>6402034204950003</v>
      </c>
      <c r="F30" s="38" t="str">
        <f>IFERROR(__xludf.DUMMYFUNCTION("""COMPUTED_VALUE"""),"P")</f>
        <v>P</v>
      </c>
      <c r="G30" s="38" t="str">
        <f>IFERROR(__xludf.DUMMYFUNCTION("""COMPUTED_VALUE"""),"Loa Janan, 02 April 1995")</f>
        <v>Loa Janan, 02 April 1995</v>
      </c>
      <c r="H30" s="39">
        <f>IFERROR(__xludf.DUMMYFUNCTION("""COMPUTED_VALUE"""),34791)</f>
        <v>34791</v>
      </c>
      <c r="I30" s="38">
        <f>IFERROR(__xludf.DUMMYFUNCTION("""COMPUTED_VALUE"""),31)</f>
        <v>31</v>
      </c>
      <c r="J30" s="38" t="str">
        <f>IFERROR(__xludf.DUMMYFUNCTION("""COMPUTED_VALUE"""),"D3 FARMASI")</f>
        <v>D3 FARMASI</v>
      </c>
      <c r="K30" s="38" t="str">
        <f>IFERROR(__xludf.DUMMYFUNCTION("""COMPUTED_VALUE"""),"JL.GERBANG DAYAKU DESA LOA DURI ULU -LOA HAUR RT.09/02 KEC LOA JANAN")</f>
        <v>JL.GERBANG DAYAKU DESA LOA DURI ULU -LOA HAUR RT.09/02 KEC LOA JANAN</v>
      </c>
      <c r="L30" s="38" t="str">
        <f>IFERROR(__xludf.DUMMYFUNCTION("""COMPUTED_VALUE"""),"AKFAR SAMARINDA")</f>
        <v>AKFAR SAMARINDA</v>
      </c>
      <c r="M30" s="38" t="str">
        <f>IFERROR(__xludf.DUMMYFUNCTION("""COMPUTED_VALUE"""),"TTK")</f>
        <v>TTK</v>
      </c>
      <c r="N30" s="39">
        <f>IFERROR(__xludf.DUMMYFUNCTION("""COMPUTED_VALUE"""),44228)</f>
        <v>44228</v>
      </c>
      <c r="O30" s="39">
        <f>IFERROR(__xludf.DUMMYFUNCTION("""COMPUTED_VALUE"""),46211.4145195486)</f>
        <v>46211.4145195486</v>
      </c>
      <c r="P30" s="38" t="str">
        <f>IFERROR(__xludf.DUMMYFUNCTION("""COMPUTED_VALUE"""),"5 Tahun5 Bulan")</f>
        <v>5 Tahun5 Bulan</v>
      </c>
      <c r="Q30" s="38" t="str">
        <f>IFERROR(__xludf.DUMMYFUNCTION("""COMPUTED_VALUE"""),"Staff IGD &amp; Ibs")</f>
        <v>Staff IGD &amp; Ibs</v>
      </c>
      <c r="R30" s="38" t="str">
        <f>IFERROR(__xludf.DUMMYFUNCTION("""COMPUTED_VALUE"""),"PPPK PW")</f>
        <v>PPPK PW</v>
      </c>
      <c r="S30" s="38" t="str">
        <f>IFERROR(__xludf.DUMMYFUNCTION("""COMPUTED_VALUE"""),"19940402/STRTTK 64/2016/24448")</f>
        <v>19940402/STRTTK 64/2016/24448</v>
      </c>
      <c r="T30" s="39">
        <f>IFERROR(__xludf.DUMMYFUNCTION("""COMPUTED_VALUE"""),45749)</f>
        <v>45749</v>
      </c>
      <c r="U30" s="39">
        <f>IFERROR(__xludf.DUMMYFUNCTION("""COMPUTED_VALUE"""),46211.4145195717)</f>
        <v>46211.4145195717</v>
      </c>
      <c r="V30" s="38" t="str">
        <f>IFERROR(__xludf.DUMMYFUNCTION("""COMPUTED_VALUE"""),"#NUM!")</f>
        <v>#NUM!</v>
      </c>
      <c r="W30" s="38" t="str">
        <f>IFERROR(__xludf.DUMMYFUNCTION("""COMPUTED_VALUE"""),"19950402/SIPTTK 64.03/20212/014")</f>
        <v>19950402/SIPTTK 64.03/20212/014</v>
      </c>
      <c r="X30" s="39">
        <f>IFERROR(__xludf.DUMMYFUNCTION("""COMPUTED_VALUE"""),45749)</f>
        <v>45749</v>
      </c>
      <c r="Y30" s="39">
        <f>IFERROR(__xludf.DUMMYFUNCTION("""COMPUTED_VALUE"""),46211.4145195833)</f>
        <v>46211.4145195833</v>
      </c>
      <c r="Z30" s="38" t="str">
        <f>IFERROR(__xludf.DUMMYFUNCTION("""COMPUTED_VALUE"""),"#NUM!")</f>
        <v>#NUM!</v>
      </c>
      <c r="AA30" s="38" t="str">
        <f>IFERROR(__xludf.DUMMYFUNCTION("""COMPUTED_VALUE"""),"DATA BASE_Images/37.FOTO.041418.jpg")</f>
        <v>DATA BASE_Images/37.FOTO.041418.jpg</v>
      </c>
      <c r="AB30" s="38"/>
      <c r="AC30" s="38"/>
      <c r="AD30" s="38" t="str">
        <f>IFERROR(__xludf.DUMMYFUNCTION("""COMPUTED_VALUE"""),"DATA BASE_Files_/37.FILE STR.014907.Farm - Nur Fitria.pdf")</f>
        <v>DATA BASE_Files_/37.FILE STR.014907.Farm - Nur Fitria.pdf</v>
      </c>
      <c r="AE30" s="38" t="str">
        <f>IFERROR(__xludf.DUMMYFUNCTION("""COMPUTED_VALUE"""),"DATA BASE_Files_/37.FILE SIPA.014907.pdf")</f>
        <v>DATA BASE_Files_/37.FILE SIPA.014907.pdf</v>
      </c>
      <c r="AF30" s="38" t="str">
        <f>IFERROR(__xludf.DUMMYFUNCTION("""COMPUTED_VALUE"""),"DATA BASE_Files_/37.FILE RKK.014907.pdf")</f>
        <v>DATA BASE_Files_/37.FILE RKK.014907.pdf</v>
      </c>
      <c r="AG30" s="38"/>
      <c r="AH30" s="38"/>
      <c r="AI30" s="38" t="str">
        <f>IFERROR(__xludf.DUMMYFUNCTION("""COMPUTED_VALUE"""),"5. RAWAT INAP")</f>
        <v>5. RAWAT INAP</v>
      </c>
      <c r="AJ30" s="38"/>
      <c r="AK30" s="38"/>
      <c r="AL30" s="38"/>
      <c r="AM30" s="38"/>
      <c r="AN30" s="38" t="str">
        <f>IFERROR(__xludf.DUMMYFUNCTION("""COMPUTED_VALUE"""),"AKTIF")</f>
        <v>AKTIF</v>
      </c>
    </row>
    <row r="31" ht="12.75" spans="1:40">
      <c r="A31" s="38">
        <f>IFERROR(__xludf.DUMMYFUNCTION("""COMPUTED_VALUE"""),30)</f>
        <v>30</v>
      </c>
      <c r="B31" s="38" t="str">
        <f>IFERROR(__xludf.DUMMYFUNCTION("""COMPUTED_VALUE"""),"Nurma Safitri, A.Md.Far")</f>
        <v>Nurma Safitri, A.Md.Far</v>
      </c>
      <c r="C31" s="38" t="str">
        <f>IFERROR(__xludf.DUMMYFUNCTION("""COMPUTED_VALUE"""),"a@gmail.com")</f>
        <v>a@gmail.com</v>
      </c>
      <c r="D31" s="38" t="str">
        <f>IFERROR(__xludf.DUMMYFUNCTION("""COMPUTED_VALUE"""),"199201272024212001")</f>
        <v>199201272024212001</v>
      </c>
      <c r="E31" s="38" t="str">
        <f>IFERROR(__xludf.DUMMYFUNCTION("""COMPUTED_VALUE"""),"6402066701920003")</f>
        <v>6402066701920003</v>
      </c>
      <c r="F31" s="38" t="str">
        <f>IFERROR(__xludf.DUMMYFUNCTION("""COMPUTED_VALUE"""),"P")</f>
        <v>P</v>
      </c>
      <c r="G31" s="38" t="str">
        <f>IFERROR(__xludf.DUMMYFUNCTION("""COMPUTED_VALUE"""),"Tenggarong,27 Januari 1992")</f>
        <v>Tenggarong,27 Januari 1992</v>
      </c>
      <c r="H31" s="39">
        <f>IFERROR(__xludf.DUMMYFUNCTION("""COMPUTED_VALUE"""),33630)</f>
        <v>33630</v>
      </c>
      <c r="I31" s="38">
        <f>IFERROR(__xludf.DUMMYFUNCTION("""COMPUTED_VALUE"""),34)</f>
        <v>34</v>
      </c>
      <c r="J31" s="38" t="str">
        <f>IFERROR(__xludf.DUMMYFUNCTION("""COMPUTED_VALUE"""),"D3 FARMASI")</f>
        <v>D3 FARMASI</v>
      </c>
      <c r="K31" s="38" t="str">
        <f>IFERROR(__xludf.DUMMYFUNCTION("""COMPUTED_VALUE"""),"JL.M.PANJAITAN GG.KELUARGA RT.4 KEL.LOA IPUH")</f>
        <v>JL.M.PANJAITAN GG.KELUARGA RT.4 KEL.LOA IPUH</v>
      </c>
      <c r="L31" s="38" t="str">
        <f>IFERROR(__xludf.DUMMYFUNCTION("""COMPUTED_VALUE"""),"AKFAR SAMRINDA")</f>
        <v>AKFAR SAMRINDA</v>
      </c>
      <c r="M31" s="38" t="str">
        <f>IFERROR(__xludf.DUMMYFUNCTION("""COMPUTED_VALUE"""),"TTK")</f>
        <v>TTK</v>
      </c>
      <c r="N31" s="39">
        <f>IFERROR(__xludf.DUMMYFUNCTION("""COMPUTED_VALUE"""),43862)</f>
        <v>43862</v>
      </c>
      <c r="O31" s="39">
        <f>IFERROR(__xludf.DUMMYFUNCTION("""COMPUTED_VALUE"""),46211.4145195486)</f>
        <v>46211.4145195486</v>
      </c>
      <c r="P31" s="38" t="str">
        <f>IFERROR(__xludf.DUMMYFUNCTION("""COMPUTED_VALUE"""),"6 Tahun5 Bulan")</f>
        <v>6 Tahun5 Bulan</v>
      </c>
      <c r="Q31" s="38" t="str">
        <f>IFERROR(__xludf.DUMMYFUNCTION("""COMPUTED_VALUE"""),"Staff Rawat Inap")</f>
        <v>Staff Rawat Inap</v>
      </c>
      <c r="R31" s="38" t="str">
        <f>IFERROR(__xludf.DUMMYFUNCTION("""COMPUTED_VALUE"""),"PPPK")</f>
        <v>PPPK</v>
      </c>
      <c r="S31" s="38" t="str">
        <f>IFERROR(__xludf.DUMMYFUNCTION("""COMPUTED_VALUE"""),"19920127/STRTTK-64/2013/21677")</f>
        <v>19920127/STRTTK-64/2013/21677</v>
      </c>
      <c r="T31" s="39">
        <f>IFERROR(__xludf.DUMMYFUNCTION("""COMPUTED_VALUE"""),46414)</f>
        <v>46414</v>
      </c>
      <c r="U31" s="39">
        <f>IFERROR(__xludf.DUMMYFUNCTION("""COMPUTED_VALUE"""),46211.4145195717)</f>
        <v>46211.4145195717</v>
      </c>
      <c r="V31" s="38" t="str">
        <f>IFERROR(__xludf.DUMMYFUNCTION("""COMPUTED_VALUE"""),"0 Tahun6 Bulan")</f>
        <v>0 Tahun6 Bulan</v>
      </c>
      <c r="W31" s="38" t="str">
        <f>IFERROR(__xludf.DUMMYFUNCTION("""COMPUTED_VALUE"""),"19920127/SIPTTK/64.03/2022/2/103")</f>
        <v>19920127/SIPTTK/64.03/2022/2/103</v>
      </c>
      <c r="X31" s="39">
        <f>IFERROR(__xludf.DUMMYFUNCTION("""COMPUTED_VALUE"""),46414)</f>
        <v>46414</v>
      </c>
      <c r="Y31" s="39">
        <f>IFERROR(__xludf.DUMMYFUNCTION("""COMPUTED_VALUE"""),46211.4145195833)</f>
        <v>46211.4145195833</v>
      </c>
      <c r="Z31" s="38" t="str">
        <f>IFERROR(__xludf.DUMMYFUNCTION("""COMPUTED_VALUE"""),"0 Tahun6 Bulan")</f>
        <v>0 Tahun6 Bulan</v>
      </c>
      <c r="AA31" s="38" t="str">
        <f>IFERROR(__xludf.DUMMYFUNCTION("""COMPUTED_VALUE"""),"DATA BASE_Images/38.FOTO.030059.jpg")</f>
        <v>DATA BASE_Images/38.FOTO.030059.jpg</v>
      </c>
      <c r="AB31" s="38"/>
      <c r="AC31" s="38"/>
      <c r="AD31" s="38" t="str">
        <f>IFERROR(__xludf.DUMMYFUNCTION("""COMPUTED_VALUE"""),"DATA BASE_Files_/38.FILE STR.022151.pdf")</f>
        <v>DATA BASE_Files_/38.FILE STR.022151.pdf</v>
      </c>
      <c r="AE31" s="38" t="str">
        <f>IFERROR(__xludf.DUMMYFUNCTION("""COMPUTED_VALUE"""),"DATA BASE_Files_/38.FILE SIPA.022150.pdf")</f>
        <v>DATA BASE_Files_/38.FILE SIPA.022150.pdf</v>
      </c>
      <c r="AF31" s="38" t="str">
        <f>IFERROR(__xludf.DUMMYFUNCTION("""COMPUTED_VALUE"""),"DATA BASE_Files_/38.FILE RKK.022150.pdf")</f>
        <v>DATA BASE_Files_/38.FILE RKK.022150.pdf</v>
      </c>
      <c r="AG31" s="38"/>
      <c r="AH31" s="38"/>
      <c r="AI31" s="38" t="str">
        <f>IFERROR(__xludf.DUMMYFUNCTION("""COMPUTED_VALUE"""),"6. RAWAT JALAN")</f>
        <v>6. RAWAT JALAN</v>
      </c>
      <c r="AJ31" s="38"/>
      <c r="AK31" s="38"/>
      <c r="AL31" s="38"/>
      <c r="AM31" s="38"/>
      <c r="AN31" s="38" t="str">
        <f>IFERROR(__xludf.DUMMYFUNCTION("""COMPUTED_VALUE"""),"AKTIF")</f>
        <v>AKTIF</v>
      </c>
    </row>
    <row r="32" ht="12.75" spans="1:40">
      <c r="A32" s="38">
        <f>IFERROR(__xludf.DUMMYFUNCTION("""COMPUTED_VALUE"""),31)</f>
        <v>31</v>
      </c>
      <c r="B32" s="38" t="str">
        <f>IFERROR(__xludf.DUMMYFUNCTION("""COMPUTED_VALUE"""),"Rahmawati, A.Md.Far")</f>
        <v>Rahmawati, A.Md.Far</v>
      </c>
      <c r="C32" s="38" t="str">
        <f>IFERROR(__xludf.DUMMYFUNCTION("""COMPUTED_VALUE"""),"a@gmail.com")</f>
        <v>a@gmail.com</v>
      </c>
      <c r="D32" s="38" t="str">
        <f>IFERROR(__xludf.DUMMYFUNCTION("""COMPUTED_VALUE"""),"198902012025212035")</f>
        <v>198902012025212035</v>
      </c>
      <c r="E32" s="38" t="str">
        <f>IFERROR(__xludf.DUMMYFUNCTION("""COMPUTED_VALUE"""),"6402064102890004")</f>
        <v>6402064102890004</v>
      </c>
      <c r="F32" s="38" t="str">
        <f>IFERROR(__xludf.DUMMYFUNCTION("""COMPUTED_VALUE"""),"P")</f>
        <v>P</v>
      </c>
      <c r="G32" s="38" t="str">
        <f>IFERROR(__xludf.DUMMYFUNCTION("""COMPUTED_VALUE"""),"Samarinda,01 Februari 1989")</f>
        <v>Samarinda,01 Februari 1989</v>
      </c>
      <c r="H32" s="39">
        <f>IFERROR(__xludf.DUMMYFUNCTION("""COMPUTED_VALUE"""),32540)</f>
        <v>32540</v>
      </c>
      <c r="I32" s="38">
        <f>IFERROR(__xludf.DUMMYFUNCTION("""COMPUTED_VALUE"""),37)</f>
        <v>37</v>
      </c>
      <c r="J32" s="38" t="str">
        <f>IFERROR(__xludf.DUMMYFUNCTION("""COMPUTED_VALUE"""),"D3 FARMASI")</f>
        <v>D3 FARMASI</v>
      </c>
      <c r="K32" s="38" t="str">
        <f>IFERROR(__xludf.DUMMYFUNCTION("""COMPUTED_VALUE"""),"JL.BELIDA RT.07 TIMBAU TENGGARONG")</f>
        <v>JL.BELIDA RT.07 TIMBAU TENGGARONG</v>
      </c>
      <c r="L32" s="38" t="str">
        <f>IFERROR(__xludf.DUMMYFUNCTION("""COMPUTED_VALUE"""),"AKFAR SAMARINDA")</f>
        <v>AKFAR SAMARINDA</v>
      </c>
      <c r="M32" s="38" t="str">
        <f>IFERROR(__xludf.DUMMYFUNCTION("""COMPUTED_VALUE"""),"TTK")</f>
        <v>TTK</v>
      </c>
      <c r="N32" s="39">
        <f>IFERROR(__xludf.DUMMYFUNCTION("""COMPUTED_VALUE"""),42461)</f>
        <v>42461</v>
      </c>
      <c r="O32" s="39">
        <f>IFERROR(__xludf.DUMMYFUNCTION("""COMPUTED_VALUE"""),46211.4145195486)</f>
        <v>46211.4145195486</v>
      </c>
      <c r="P32" s="38" t="str">
        <f>IFERROR(__xludf.DUMMYFUNCTION("""COMPUTED_VALUE"""),"10 Tahun3 Bulan")</f>
        <v>10 Tahun3 Bulan</v>
      </c>
      <c r="Q32" s="38" t="str">
        <f>IFERROR(__xludf.DUMMYFUNCTION("""COMPUTED_VALUE"""),"Staff Rawat jalan")</f>
        <v>Staff Rawat jalan</v>
      </c>
      <c r="R32" s="38" t="str">
        <f>IFERROR(__xludf.DUMMYFUNCTION("""COMPUTED_VALUE"""),"PPPK")</f>
        <v>PPPK</v>
      </c>
      <c r="S32" s="38" t="str">
        <f>IFERROR(__xludf.DUMMYFUNCTION("""COMPUTED_VALUE"""),"19890201/STRTTK-64.03/2010/24364")</f>
        <v>19890201/STRTTK-64.03/2010/24364</v>
      </c>
      <c r="T32" s="39">
        <f>IFERROR(__xludf.DUMMYFUNCTION("""COMPUTED_VALUE"""),45689)</f>
        <v>45689</v>
      </c>
      <c r="U32" s="39">
        <f>IFERROR(__xludf.DUMMYFUNCTION("""COMPUTED_VALUE"""),46211.4145195717)</f>
        <v>46211.4145195717</v>
      </c>
      <c r="V32" s="38" t="str">
        <f>IFERROR(__xludf.DUMMYFUNCTION("""COMPUTED_VALUE"""),"#NUM!")</f>
        <v>#NUM!</v>
      </c>
      <c r="W32" s="38" t="str">
        <f>IFERROR(__xludf.DUMMYFUNCTION("""COMPUTED_VALUE"""),"19890201/SIPTTK/64.03/2020/2044")</f>
        <v>19890201/SIPTTK/64.03/2020/2044</v>
      </c>
      <c r="X32" s="39">
        <f>IFERROR(__xludf.DUMMYFUNCTION("""COMPUTED_VALUE"""),45689)</f>
        <v>45689</v>
      </c>
      <c r="Y32" s="39">
        <f>IFERROR(__xludf.DUMMYFUNCTION("""COMPUTED_VALUE"""),46211.4145195833)</f>
        <v>46211.4145195833</v>
      </c>
      <c r="Z32" s="38" t="str">
        <f>IFERROR(__xludf.DUMMYFUNCTION("""COMPUTED_VALUE"""),"#NUM!")</f>
        <v>#NUM!</v>
      </c>
      <c r="AA32" s="38" t="str">
        <f>IFERROR(__xludf.DUMMYFUNCTION("""COMPUTED_VALUE"""),"DATA BASE_Images/40.FOTO.030113.jpg")</f>
        <v>DATA BASE_Images/40.FOTO.030113.jpg</v>
      </c>
      <c r="AB32" s="38"/>
      <c r="AC32" s="38"/>
      <c r="AD32" s="38" t="str">
        <f>IFERROR(__xludf.DUMMYFUNCTION("""COMPUTED_VALUE"""),"DATA BASE_Files_/40.FILE STR.022231.,Farm - STR - Rahmawati.pdf")</f>
        <v>DATA BASE_Files_/40.FILE STR.022231.,Farm - STR - Rahmawati.pdf</v>
      </c>
      <c r="AE32" s="38" t="str">
        <f>IFERROR(__xludf.DUMMYFUNCTION("""COMPUTED_VALUE"""),"DATA BASE_Files_/40.FILE SIPA.022231.,Farm -SIP.pdf")</f>
        <v>DATA BASE_Files_/40.FILE SIPA.022231.,Farm -SIP.pdf</v>
      </c>
      <c r="AF32" s="38" t="str">
        <f>IFERROR(__xludf.DUMMYFUNCTION("""COMPUTED_VALUE"""),"DATA BASE_Files_/40.FILE RKK.022231.,Farm - SPK RKK - Rahmawati.pdf")</f>
        <v>DATA BASE_Files_/40.FILE RKK.022231.,Farm - SPK RKK - Rahmawati.pdf</v>
      </c>
      <c r="AG32" s="38"/>
      <c r="AH32" s="38"/>
      <c r="AI32" s="38" t="str">
        <f>IFERROR(__xludf.DUMMYFUNCTION("""COMPUTED_VALUE"""),"5. RAWAT INAP")</f>
        <v>5. RAWAT INAP</v>
      </c>
      <c r="AJ32" s="38"/>
      <c r="AK32" s="38"/>
      <c r="AL32" s="38"/>
      <c r="AM32" s="38"/>
      <c r="AN32" s="38" t="str">
        <f>IFERROR(__xludf.DUMMYFUNCTION("""COMPUTED_VALUE"""),"AKTIF")</f>
        <v>AKTIF</v>
      </c>
    </row>
    <row r="33" ht="12.75" spans="1:40">
      <c r="A33" s="38">
        <f>IFERROR(__xludf.DUMMYFUNCTION("""COMPUTED_VALUE"""),32)</f>
        <v>32</v>
      </c>
      <c r="B33" s="38" t="str">
        <f>IFERROR(__xludf.DUMMYFUNCTION("""COMPUTED_VALUE"""),"Ria Novita Sari, A.Md.Farm")</f>
        <v>Ria Novita Sari, A.Md.Farm</v>
      </c>
      <c r="C33" s="38" t="str">
        <f>IFERROR(__xludf.DUMMYFUNCTION("""COMPUTED_VALUE"""),"a@gmail.com")</f>
        <v>a@gmail.com</v>
      </c>
      <c r="D33" s="38" t="str">
        <f>IFERROR(__xludf.DUMMYFUNCTION("""COMPUTED_VALUE"""),"199611052025212070")</f>
        <v>199611052025212070</v>
      </c>
      <c r="E33" s="38" t="str">
        <f>IFERROR(__xludf.DUMMYFUNCTION("""COMPUTED_VALUE"""),"6402024511980001")</f>
        <v>6402024511980001</v>
      </c>
      <c r="F33" s="38" t="str">
        <f>IFERROR(__xludf.DUMMYFUNCTION("""COMPUTED_VALUE"""),"P")</f>
        <v>P</v>
      </c>
      <c r="G33" s="38" t="str">
        <f>IFERROR(__xludf.DUMMYFUNCTION("""COMPUTED_VALUE"""),"Kutai,5 November 1996")</f>
        <v>Kutai,5 November 1996</v>
      </c>
      <c r="H33" s="39">
        <f>IFERROR(__xludf.DUMMYFUNCTION("""COMPUTED_VALUE"""),35374)</f>
        <v>35374</v>
      </c>
      <c r="I33" s="38">
        <f>IFERROR(__xludf.DUMMYFUNCTION("""COMPUTED_VALUE"""),29)</f>
        <v>29</v>
      </c>
      <c r="J33" s="38" t="str">
        <f>IFERROR(__xludf.DUMMYFUNCTION("""COMPUTED_VALUE"""),"D3 FARMASI")</f>
        <v>D3 FARMASI</v>
      </c>
      <c r="K33" s="38" t="str">
        <f>IFERROR(__xludf.DUMMYFUNCTION("""COMPUTED_VALUE"""),"DUSUN KEBONSARI RT.02 DESA MARGAHAYU KEC.LOA KULU")</f>
        <v>DUSUN KEBONSARI RT.02 DESA MARGAHAYU KEC.LOA KULU</v>
      </c>
      <c r="L33" s="38" t="str">
        <f>IFERROR(__xludf.DUMMYFUNCTION("""COMPUTED_VALUE"""),"AKFAR SAMRINDA")</f>
        <v>AKFAR SAMRINDA</v>
      </c>
      <c r="M33" s="38" t="str">
        <f>IFERROR(__xludf.DUMMYFUNCTION("""COMPUTED_VALUE"""),"TTK")</f>
        <v>TTK</v>
      </c>
      <c r="N33" s="39">
        <f>IFERROR(__xludf.DUMMYFUNCTION("""COMPUTED_VALUE"""),43862)</f>
        <v>43862</v>
      </c>
      <c r="O33" s="39">
        <f>IFERROR(__xludf.DUMMYFUNCTION("""COMPUTED_VALUE"""),46211.4145195486)</f>
        <v>46211.4145195486</v>
      </c>
      <c r="P33" s="38" t="str">
        <f>IFERROR(__xludf.DUMMYFUNCTION("""COMPUTED_VALUE"""),"6 Tahun5 Bulan")</f>
        <v>6 Tahun5 Bulan</v>
      </c>
      <c r="Q33" s="38" t="str">
        <f>IFERROR(__xludf.DUMMYFUNCTION("""COMPUTED_VALUE"""),"Staff IGD &amp; Ibs")</f>
        <v>Staff IGD &amp; Ibs</v>
      </c>
      <c r="R33" s="38" t="str">
        <f>IFERROR(__xludf.DUMMYFUNCTION("""COMPUTED_VALUE"""),"PPPK PW")</f>
        <v>PPPK PW</v>
      </c>
      <c r="S33" s="38" t="str">
        <f>IFERROR(__xludf.DUMMYFUNCTION("""COMPUTED_VALUE"""),"19961105/STRTTK-64/2018/23861")</f>
        <v>19961105/STRTTK-64/2018/23861</v>
      </c>
      <c r="T33" s="39">
        <f>IFERROR(__xludf.DUMMYFUNCTION("""COMPUTED_VALUE"""),45235)</f>
        <v>45235</v>
      </c>
      <c r="U33" s="39">
        <f>IFERROR(__xludf.DUMMYFUNCTION("""COMPUTED_VALUE"""),46211.4145195717)</f>
        <v>46211.4145195717</v>
      </c>
      <c r="V33" s="38" t="str">
        <f>IFERROR(__xludf.DUMMYFUNCTION("""COMPUTED_VALUE"""),"#NUM!")</f>
        <v>#NUM!</v>
      </c>
      <c r="W33" s="38" t="str">
        <f>IFERROR(__xludf.DUMMYFUNCTION("""COMPUTED_VALUE"""),"19961105/SIPTTK6403/2023/2/177")</f>
        <v>19961105/SIPTTK6403/2023/2/177</v>
      </c>
      <c r="X33" s="39">
        <f>IFERROR(__xludf.DUMMYFUNCTION("""COMPUTED_VALUE"""),45235)</f>
        <v>45235</v>
      </c>
      <c r="Y33" s="39">
        <f>IFERROR(__xludf.DUMMYFUNCTION("""COMPUTED_VALUE"""),46211.4145195833)</f>
        <v>46211.4145195833</v>
      </c>
      <c r="Z33" s="38" t="str">
        <f>IFERROR(__xludf.DUMMYFUNCTION("""COMPUTED_VALUE"""),"#NUM!")</f>
        <v>#NUM!</v>
      </c>
      <c r="AA33" s="38" t="str">
        <f>IFERROR(__xludf.DUMMYFUNCTION("""COMPUTED_VALUE"""),"DATA BASE_Images/41.FOTO.024318.jpg")</f>
        <v>DATA BASE_Images/41.FOTO.024318.jpg</v>
      </c>
      <c r="AB33" s="38"/>
      <c r="AC33" s="38"/>
      <c r="AD33" s="38" t="str">
        <f>IFERROR(__xludf.DUMMYFUNCTION("""COMPUTED_VALUE"""),"DATA BASE_Files_/41.FILE STR.004318.pdf")</f>
        <v>DATA BASE_Files_/41.FILE STR.004318.pdf</v>
      </c>
      <c r="AE33" s="38" t="str">
        <f>IFERROR(__xludf.DUMMYFUNCTION("""COMPUTED_VALUE"""),"DATA BASE_Files_/39.FILE SIPA.023845.pdf")</f>
        <v>DATA BASE_Files_/39.FILE SIPA.023845.pdf</v>
      </c>
      <c r="AF33" s="38" t="str">
        <f>IFERROR(__xludf.DUMMYFUNCTION("""COMPUTED_VALUE"""),"DATA BASE_Files_/41.FILE RKK.004318.Farm_RKK - Ria Novitasari.pdf")</f>
        <v>DATA BASE_Files_/41.FILE RKK.004318.Farm_RKK - Ria Novitasari.pdf</v>
      </c>
      <c r="AG33" s="38"/>
      <c r="AH33" s="38"/>
      <c r="AI33" s="38" t="str">
        <f>IFERROR(__xludf.DUMMYFUNCTION("""COMPUTED_VALUE"""),"3. IGD,IBS &amp;CATHLAB")</f>
        <v>3. IGD,IBS &amp;CATHLAB</v>
      </c>
      <c r="AJ33" s="38"/>
      <c r="AK33" s="38"/>
      <c r="AL33" s="38"/>
      <c r="AM33" s="38"/>
      <c r="AN33" s="38" t="str">
        <f>IFERROR(__xludf.DUMMYFUNCTION("""COMPUTED_VALUE"""),"AKTIF")</f>
        <v>AKTIF</v>
      </c>
    </row>
    <row r="34" ht="12.75" spans="1:40">
      <c r="A34" s="38">
        <f>IFERROR(__xludf.DUMMYFUNCTION("""COMPUTED_VALUE"""),33)</f>
        <v>33</v>
      </c>
      <c r="B34" s="38" t="str">
        <f>IFERROR(__xludf.DUMMYFUNCTION("""COMPUTED_VALUE"""),"Rizka Oktaviani, A.Md.Farm")</f>
        <v>Rizka Oktaviani, A.Md.Farm</v>
      </c>
      <c r="C34" s="38" t="str">
        <f>IFERROR(__xludf.DUMMYFUNCTION("""COMPUTED_VALUE"""),"a@gmail.com")</f>
        <v>a@gmail.com</v>
      </c>
      <c r="D34" s="38" t="str">
        <f>IFERROR(__xludf.DUMMYFUNCTION("""COMPUTED_VALUE"""),"199510092025212084")</f>
        <v>199510092025212084</v>
      </c>
      <c r="E34" s="38" t="str">
        <f>IFERROR(__xludf.DUMMYFUNCTION("""COMPUTED_VALUE"""),"6402064910950001")</f>
        <v>6402064910950001</v>
      </c>
      <c r="F34" s="38" t="str">
        <f>IFERROR(__xludf.DUMMYFUNCTION("""COMPUTED_VALUE"""),"P")</f>
        <v>P</v>
      </c>
      <c r="G34" s="38" t="str">
        <f>IFERROR(__xludf.DUMMYFUNCTION("""COMPUTED_VALUE"""),"Muara Muntai,9 Oktober 1995")</f>
        <v>Muara Muntai,9 Oktober 1995</v>
      </c>
      <c r="H34" s="39">
        <f>IFERROR(__xludf.DUMMYFUNCTION("""COMPUTED_VALUE"""),34981)</f>
        <v>34981</v>
      </c>
      <c r="I34" s="38">
        <f>IFERROR(__xludf.DUMMYFUNCTION("""COMPUTED_VALUE"""),30)</f>
        <v>30</v>
      </c>
      <c r="J34" s="38" t="str">
        <f>IFERROR(__xludf.DUMMYFUNCTION("""COMPUTED_VALUE"""),"D3 FARMASI")</f>
        <v>D3 FARMASI</v>
      </c>
      <c r="K34" s="38" t="str">
        <f>IFERROR(__xludf.DUMMYFUNCTION("""COMPUTED_VALUE"""),"JL.BELIDA 1 RT.08 KEL TIMBAU TENGGARONG")</f>
        <v>JL.BELIDA 1 RT.08 KEL TIMBAU TENGGARONG</v>
      </c>
      <c r="L34" s="38" t="str">
        <f>IFERROR(__xludf.DUMMYFUNCTION("""COMPUTED_VALUE"""),"AKFAR SAMRINDA")</f>
        <v>AKFAR SAMRINDA</v>
      </c>
      <c r="M34" s="38" t="str">
        <f>IFERROR(__xludf.DUMMYFUNCTION("""COMPUTED_VALUE"""),"TTK")</f>
        <v>TTK</v>
      </c>
      <c r="N34" s="39">
        <f>IFERROR(__xludf.DUMMYFUNCTION("""COMPUTED_VALUE"""),43862)</f>
        <v>43862</v>
      </c>
      <c r="O34" s="39">
        <f>IFERROR(__xludf.DUMMYFUNCTION("""COMPUTED_VALUE"""),46211.4145195486)</f>
        <v>46211.4145195486</v>
      </c>
      <c r="P34" s="38" t="str">
        <f>IFERROR(__xludf.DUMMYFUNCTION("""COMPUTED_VALUE"""),"6 Tahun5 Bulan")</f>
        <v>6 Tahun5 Bulan</v>
      </c>
      <c r="Q34" s="38" t="str">
        <f>IFERROR(__xludf.DUMMYFUNCTION("""COMPUTED_VALUE"""),"Staff IGD &amp; Ibs")</f>
        <v>Staff IGD &amp; Ibs</v>
      </c>
      <c r="R34" s="38" t="str">
        <f>IFERROR(__xludf.DUMMYFUNCTION("""COMPUTED_VALUE"""),"PPPK PW")</f>
        <v>PPPK PW</v>
      </c>
      <c r="S34" s="38" t="str">
        <f>IFERROR(__xludf.DUMMYFUNCTION("""COMPUTED_VALUE"""),"19951009/STRTTK-64/2016/23366")</f>
        <v>19951009/STRTTK-64/2016/23366</v>
      </c>
      <c r="T34" s="39">
        <f>IFERROR(__xludf.DUMMYFUNCTION("""COMPUTED_VALUE"""),46304)</f>
        <v>46304</v>
      </c>
      <c r="U34" s="39">
        <f>IFERROR(__xludf.DUMMYFUNCTION("""COMPUTED_VALUE"""),46211.4145195717)</f>
        <v>46211.4145195717</v>
      </c>
      <c r="V34" s="38" t="str">
        <f>IFERROR(__xludf.DUMMYFUNCTION("""COMPUTED_VALUE"""),"0 Tahun3 Bulan")</f>
        <v>0 Tahun3 Bulan</v>
      </c>
      <c r="W34" s="38" t="str">
        <f>IFERROR(__xludf.DUMMYFUNCTION("""COMPUTED_VALUE"""),"19951009/SIPTTK/64.03/2021/2/038")</f>
        <v>19951009/SIPTTK/64.03/2021/2/038</v>
      </c>
      <c r="X34" s="39">
        <f>IFERROR(__xludf.DUMMYFUNCTION("""COMPUTED_VALUE"""),46304)</f>
        <v>46304</v>
      </c>
      <c r="Y34" s="39">
        <f>IFERROR(__xludf.DUMMYFUNCTION("""COMPUTED_VALUE"""),46211.4145195833)</f>
        <v>46211.4145195833</v>
      </c>
      <c r="Z34" s="38" t="str">
        <f>IFERROR(__xludf.DUMMYFUNCTION("""COMPUTED_VALUE"""),"0 Tahun3 Bulan")</f>
        <v>0 Tahun3 Bulan</v>
      </c>
      <c r="AA34" s="38" t="str">
        <f>IFERROR(__xludf.DUMMYFUNCTION("""COMPUTED_VALUE"""),"DATA BASE_Images/42.FOTO.024414.jpg")</f>
        <v>DATA BASE_Images/42.FOTO.024414.jpg</v>
      </c>
      <c r="AB34" s="38"/>
      <c r="AC34" s="38"/>
      <c r="AD34" s="38" t="str">
        <f>IFERROR(__xludf.DUMMYFUNCTION("""COMPUTED_VALUE"""),"DATA BASE_Files_/42.FILE STR.004411.pdf")</f>
        <v>DATA BASE_Files_/42.FILE STR.004411.pdf</v>
      </c>
      <c r="AE34" s="38" t="str">
        <f>IFERROR(__xludf.DUMMYFUNCTION("""COMPUTED_VALUE"""),"DATA BASE_Files_/42.FILE SIPA.004410.pdf")</f>
        <v>DATA BASE_Files_/42.FILE SIPA.004410.pdf</v>
      </c>
      <c r="AF34" s="38" t="str">
        <f>IFERROR(__xludf.DUMMYFUNCTION("""COMPUTED_VALUE"""),"DATA BASE_Files_/42.FILE RKK.004410.pdf")</f>
        <v>DATA BASE_Files_/42.FILE RKK.004410.pdf</v>
      </c>
      <c r="AG34" s="38"/>
      <c r="AH34" s="38"/>
      <c r="AI34" s="38" t="str">
        <f>IFERROR(__xludf.DUMMYFUNCTION("""COMPUTED_VALUE"""),"6. RAWAT JALAN")</f>
        <v>6. RAWAT JALAN</v>
      </c>
      <c r="AJ34" s="38"/>
      <c r="AK34" s="38"/>
      <c r="AL34" s="38"/>
      <c r="AM34" s="38"/>
      <c r="AN34" s="38" t="str">
        <f>IFERROR(__xludf.DUMMYFUNCTION("""COMPUTED_VALUE"""),"AKTIF")</f>
        <v>AKTIF</v>
      </c>
    </row>
    <row r="35" ht="12.75" spans="1:40">
      <c r="A35" s="38">
        <f>IFERROR(__xludf.DUMMYFUNCTION("""COMPUTED_VALUE"""),34)</f>
        <v>34</v>
      </c>
      <c r="B35" s="38" t="str">
        <f>IFERROR(__xludf.DUMMYFUNCTION("""COMPUTED_VALUE"""),"Siti Nurjanah, A.Md.Far")</f>
        <v>Siti Nurjanah, A.Md.Far</v>
      </c>
      <c r="C35" s="38" t="str">
        <f>IFERROR(__xludf.DUMMYFUNCTION("""COMPUTED_VALUE"""),"a@gmail.com")</f>
        <v>a@gmail.com</v>
      </c>
      <c r="D35" s="38" t="str">
        <f>IFERROR(__xludf.DUMMYFUNCTION("""COMPUTED_VALUE"""),"199104052024212013")</f>
        <v>199104052024212013</v>
      </c>
      <c r="E35" s="38" t="str">
        <f>IFERROR(__xludf.DUMMYFUNCTION("""COMPUTED_VALUE"""),"6402164504910001")</f>
        <v>6402164504910001</v>
      </c>
      <c r="F35" s="38" t="str">
        <f>IFERROR(__xludf.DUMMYFUNCTION("""COMPUTED_VALUE"""),"P")</f>
        <v>P</v>
      </c>
      <c r="G35" s="38" t="str">
        <f>IFERROR(__xludf.DUMMYFUNCTION("""COMPUTED_VALUE"""),"Tenggarong, 5 April 1991")</f>
        <v>Tenggarong, 5 April 1991</v>
      </c>
      <c r="H35" s="39">
        <f>IFERROR(__xludf.DUMMYFUNCTION("""COMPUTED_VALUE"""),33333)</f>
        <v>33333</v>
      </c>
      <c r="I35" s="38">
        <f>IFERROR(__xludf.DUMMYFUNCTION("""COMPUTED_VALUE"""),35)</f>
        <v>35</v>
      </c>
      <c r="J35" s="38" t="str">
        <f>IFERROR(__xludf.DUMMYFUNCTION("""COMPUTED_VALUE"""),"D3 FARMASI")</f>
        <v>D3 FARMASI</v>
      </c>
      <c r="K35" s="38" t="str">
        <f>IFERROR(__xludf.DUMMYFUNCTION("""COMPUTED_VALUE"""),"JL.POROS L 2 BLOK.D DESA MANUNGGAL JAYA KEC.TENGGARONG SEBERANG")</f>
        <v>JL.POROS L 2 BLOK.D DESA MANUNGGAL JAYA KEC.TENGGARONG SEBERANG</v>
      </c>
      <c r="L35" s="38" t="str">
        <f>IFERROR(__xludf.DUMMYFUNCTION("""COMPUTED_VALUE"""),"AKFAR SAMARINDA")</f>
        <v>AKFAR SAMARINDA</v>
      </c>
      <c r="M35" s="38" t="str">
        <f>IFERROR(__xludf.DUMMYFUNCTION("""COMPUTED_VALUE"""),"TTK")</f>
        <v>TTK</v>
      </c>
      <c r="N35" s="39">
        <f>IFERROR(__xludf.DUMMYFUNCTION("""COMPUTED_VALUE"""),42095)</f>
        <v>42095</v>
      </c>
      <c r="O35" s="39">
        <f>IFERROR(__xludf.DUMMYFUNCTION("""COMPUTED_VALUE"""),46211.4145195486)</f>
        <v>46211.4145195486</v>
      </c>
      <c r="P35" s="38" t="str">
        <f>IFERROR(__xludf.DUMMYFUNCTION("""COMPUTED_VALUE"""),"11 Tahun3 Bulan")</f>
        <v>11 Tahun3 Bulan</v>
      </c>
      <c r="Q35" s="38" t="str">
        <f>IFERROR(__xludf.DUMMYFUNCTION("""COMPUTED_VALUE"""),"Staff Rawat jalan")</f>
        <v>Staff Rawat jalan</v>
      </c>
      <c r="R35" s="38" t="str">
        <f>IFERROR(__xludf.DUMMYFUNCTION("""COMPUTED_VALUE"""),"PPPK")</f>
        <v>PPPK</v>
      </c>
      <c r="S35" s="38" t="str">
        <f>IFERROR(__xludf.DUMMYFUNCTION("""COMPUTED_VALUE"""),"19910405/STRTTK-64/2013/21693")</f>
        <v>19910405/STRTTK-64/2013/21693</v>
      </c>
      <c r="T35" s="39">
        <f>IFERROR(__xludf.DUMMYFUNCTION("""COMPUTED_VALUE"""),46482)</f>
        <v>46482</v>
      </c>
      <c r="U35" s="39">
        <f>IFERROR(__xludf.DUMMYFUNCTION("""COMPUTED_VALUE"""),46211.4145195717)</f>
        <v>46211.4145195717</v>
      </c>
      <c r="V35" s="38" t="str">
        <f>IFERROR(__xludf.DUMMYFUNCTION("""COMPUTED_VALUE"""),"0 Tahun8 Bulan")</f>
        <v>0 Tahun8 Bulan</v>
      </c>
      <c r="W35" s="38" t="str">
        <f>IFERROR(__xludf.DUMMYFUNCTION("""COMPUTED_VALUE"""),"19910405/SIPTTK/64.03/2023/2/128")</f>
        <v>19910405/SIPTTK/64.03/2023/2/128</v>
      </c>
      <c r="X35" s="39">
        <f>IFERROR(__xludf.DUMMYFUNCTION("""COMPUTED_VALUE"""),46482)</f>
        <v>46482</v>
      </c>
      <c r="Y35" s="39">
        <f>IFERROR(__xludf.DUMMYFUNCTION("""COMPUTED_VALUE"""),46211.4145195833)</f>
        <v>46211.4145195833</v>
      </c>
      <c r="Z35" s="38" t="str">
        <f>IFERROR(__xludf.DUMMYFUNCTION("""COMPUTED_VALUE"""),"0 Tahun8 Bulan")</f>
        <v>0 Tahun8 Bulan</v>
      </c>
      <c r="AA35" s="38" t="str">
        <f>IFERROR(__xludf.DUMMYFUNCTION("""COMPUTED_VALUE"""),"DATA BASE_Images/43.FOTO.030140.jpg")</f>
        <v>DATA BASE_Images/43.FOTO.030140.jpg</v>
      </c>
      <c r="AB35" s="38"/>
      <c r="AC35" s="38"/>
      <c r="AD35" s="38" t="str">
        <f>IFERROR(__xludf.DUMMYFUNCTION("""COMPUTED_VALUE"""),"DATA BASE_Files_/43.FILE STR.022400.pdf")</f>
        <v>DATA BASE_Files_/43.FILE STR.022400.pdf</v>
      </c>
      <c r="AE35" s="38" t="str">
        <f>IFERROR(__xludf.DUMMYFUNCTION("""COMPUTED_VALUE"""),"DATA BASE_Files_/43.FILE SIPA.022400.pdf")</f>
        <v>DATA BASE_Files_/43.FILE SIPA.022400.pdf</v>
      </c>
      <c r="AF35" s="38" t="str">
        <f>IFERROR(__xludf.DUMMYFUNCTION("""COMPUTED_VALUE"""),"DATA BASE_Files_/43.FILE RKK.022400.pdf")</f>
        <v>DATA BASE_Files_/43.FILE RKK.022400.pdf</v>
      </c>
      <c r="AG35" s="38"/>
      <c r="AH35" s="38"/>
      <c r="AI35" s="38" t="str">
        <f>IFERROR(__xludf.DUMMYFUNCTION("""COMPUTED_VALUE"""),"3. IGD,IBS &amp;CATHLAB")</f>
        <v>3. IGD,IBS &amp;CATHLAB</v>
      </c>
      <c r="AJ35" s="38"/>
      <c r="AK35" s="38"/>
      <c r="AL35" s="38"/>
      <c r="AM35" s="38"/>
      <c r="AN35" s="38" t="str">
        <f>IFERROR(__xludf.DUMMYFUNCTION("""COMPUTED_VALUE"""),"AKTIF")</f>
        <v>AKTIF</v>
      </c>
    </row>
    <row r="36" ht="12.75" spans="1:40">
      <c r="A36" s="38">
        <f>IFERROR(__xludf.DUMMYFUNCTION("""COMPUTED_VALUE"""),35)</f>
        <v>35</v>
      </c>
      <c r="B36" s="38" t="str">
        <f>IFERROR(__xludf.DUMMYFUNCTION("""COMPUTED_VALUE"""),"Sri Utami, A.Md.Far")</f>
        <v>Sri Utami, A.Md.Far</v>
      </c>
      <c r="C36" s="38" t="str">
        <f>IFERROR(__xludf.DUMMYFUNCTION("""COMPUTED_VALUE"""),"a@gmail.com")</f>
        <v>a@gmail.com</v>
      </c>
      <c r="D36" s="38" t="str">
        <f>IFERROR(__xludf.DUMMYFUNCTION("""COMPUTED_VALUE"""),"T199109052015042001")</f>
        <v>T199109052015042001</v>
      </c>
      <c r="E36" s="38" t="str">
        <f>IFERROR(__xludf.DUMMYFUNCTION("""COMPUTED_VALUE"""),"6402064509910006")</f>
        <v>6402064509910006</v>
      </c>
      <c r="F36" s="38" t="str">
        <f>IFERROR(__xludf.DUMMYFUNCTION("""COMPUTED_VALUE"""),"P")</f>
        <v>P</v>
      </c>
      <c r="G36" s="38" t="str">
        <f>IFERROR(__xludf.DUMMYFUNCTION("""COMPUTED_VALUE"""),"Tenggarong,5 september 1991")</f>
        <v>Tenggarong,5 september 1991</v>
      </c>
      <c r="H36" s="39">
        <f>IFERROR(__xludf.DUMMYFUNCTION("""COMPUTED_VALUE"""),33486)</f>
        <v>33486</v>
      </c>
      <c r="I36" s="38">
        <f>IFERROR(__xludf.DUMMYFUNCTION("""COMPUTED_VALUE"""),34)</f>
        <v>34</v>
      </c>
      <c r="J36" s="38" t="str">
        <f>IFERROR(__xludf.DUMMYFUNCTION("""COMPUTED_VALUE"""),"D3 FARMASI")</f>
        <v>D3 FARMASI</v>
      </c>
      <c r="K36" s="38" t="str">
        <f>IFERROR(__xludf.DUMMYFUNCTION("""COMPUTED_VALUE"""),"JL.AR SUKMAWIRA NO.48 RT.10 KEL.BARU TENGGARONG")</f>
        <v>JL.AR SUKMAWIRA NO.48 RT.10 KEL.BARU TENGGARONG</v>
      </c>
      <c r="L36" s="38" t="str">
        <f>IFERROR(__xludf.DUMMYFUNCTION("""COMPUTED_VALUE"""),"AKFAR SAMARINDA")</f>
        <v>AKFAR SAMARINDA</v>
      </c>
      <c r="M36" s="38" t="str">
        <f>IFERROR(__xludf.DUMMYFUNCTION("""COMPUTED_VALUE"""),"TTK")</f>
        <v>TTK</v>
      </c>
      <c r="N36" s="39">
        <f>IFERROR(__xludf.DUMMYFUNCTION("""COMPUTED_VALUE"""),42125)</f>
        <v>42125</v>
      </c>
      <c r="O36" s="39">
        <f>IFERROR(__xludf.DUMMYFUNCTION("""COMPUTED_VALUE"""),46211.4145195486)</f>
        <v>46211.4145195486</v>
      </c>
      <c r="P36" s="38" t="str">
        <f>IFERROR(__xludf.DUMMYFUNCTION("""COMPUTED_VALUE"""),"11 Tahun2 Bulan")</f>
        <v>11 Tahun2 Bulan</v>
      </c>
      <c r="Q36" s="38" t="str">
        <f>IFERROR(__xludf.DUMMYFUNCTION("""COMPUTED_VALUE"""),"Staff IGD &amp; Ibs")</f>
        <v>Staff IGD &amp; Ibs</v>
      </c>
      <c r="R36" s="38" t="str">
        <f>IFERROR(__xludf.DUMMYFUNCTION("""COMPUTED_VALUE"""),"PPPK")</f>
        <v>PPPK</v>
      </c>
      <c r="S36" s="38" t="str">
        <f>IFERROR(__xludf.DUMMYFUNCTION("""COMPUTED_VALUE"""),"19910905/STRTTK-64/2012/21494")</f>
        <v>19910905/STRTTK-64/2012/21494</v>
      </c>
      <c r="T36" s="39">
        <f>IFERROR(__xludf.DUMMYFUNCTION("""COMPUTED_VALUE"""),45174)</f>
        <v>45174</v>
      </c>
      <c r="U36" s="39">
        <f>IFERROR(__xludf.DUMMYFUNCTION("""COMPUTED_VALUE"""),46211.4145195717)</f>
        <v>46211.4145195717</v>
      </c>
      <c r="V36" s="38" t="str">
        <f>IFERROR(__xludf.DUMMYFUNCTION("""COMPUTED_VALUE"""),"#NUM!")</f>
        <v>#NUM!</v>
      </c>
      <c r="W36" s="38" t="str">
        <f>IFERROR(__xludf.DUMMYFUNCTION("""COMPUTED_VALUE"""),"19910905/SIPTTK 64.03/2023/2/184")</f>
        <v>19910905/SIPTTK 64.03/2023/2/184</v>
      </c>
      <c r="X36" s="39">
        <f>IFERROR(__xludf.DUMMYFUNCTION("""COMPUTED_VALUE"""),47731)</f>
        <v>47731</v>
      </c>
      <c r="Y36" s="39">
        <f>IFERROR(__xludf.DUMMYFUNCTION("""COMPUTED_VALUE"""),46211.4145195833)</f>
        <v>46211.4145195833</v>
      </c>
      <c r="Z36" s="38" t="str">
        <f>IFERROR(__xludf.DUMMYFUNCTION("""COMPUTED_VALUE"""),"4 Tahun1 Bulan")</f>
        <v>4 Tahun1 Bulan</v>
      </c>
      <c r="AA36" s="38" t="str">
        <f>IFERROR(__xludf.DUMMYFUNCTION("""COMPUTED_VALUE"""),"DATA BASE_Images/44.FOTO.024430.jpg")</f>
        <v>DATA BASE_Images/44.FOTO.024430.jpg</v>
      </c>
      <c r="AB36" s="38"/>
      <c r="AC36" s="38" t="str">
        <f>IFERROR(__xludf.DUMMYFUNCTION("""COMPUTED_VALUE"""),"DATA BASE_Files_/42.FILE KONTRAK.023322.pdf")</f>
        <v>DATA BASE_Files_/42.FILE KONTRAK.023322.pdf</v>
      </c>
      <c r="AD36" s="38" t="str">
        <f>IFERROR(__xludf.DUMMYFUNCTION("""COMPUTED_VALUE"""),"DATA BASE_Files_/44.FILE STR.004539.pdf")</f>
        <v>DATA BASE_Files_/44.FILE STR.004539.pdf</v>
      </c>
      <c r="AE36" s="38" t="str">
        <f>IFERROR(__xludf.DUMMYFUNCTION("""COMPUTED_VALUE"""),"DATA BASE_Files_/42.FILE SIPA.023405.pdf")</f>
        <v>DATA BASE_Files_/42.FILE SIPA.023405.pdf</v>
      </c>
      <c r="AF36" s="38" t="str">
        <f>IFERROR(__xludf.DUMMYFUNCTION("""COMPUTED_VALUE"""),"DATA BASE_Files_/44.FILE RKK.004539.pdf")</f>
        <v>DATA BASE_Files_/44.FILE RKK.004539.pdf</v>
      </c>
      <c r="AG36" s="38"/>
      <c r="AH36" s="38"/>
      <c r="AI36" s="38" t="str">
        <f>IFERROR(__xludf.DUMMYFUNCTION("""COMPUTED_VALUE"""),"3. IGD,IBS &amp;CATHLAB")</f>
        <v>3. IGD,IBS &amp;CATHLAB</v>
      </c>
      <c r="AJ36" s="38"/>
      <c r="AK36" s="38"/>
      <c r="AL36" s="38"/>
      <c r="AM36" s="38"/>
      <c r="AN36" s="38" t="str">
        <f>IFERROR(__xludf.DUMMYFUNCTION("""COMPUTED_VALUE"""),"AKTIF")</f>
        <v>AKTIF</v>
      </c>
    </row>
    <row r="37" ht="12.75" spans="1:40">
      <c r="A37" s="38">
        <f>IFERROR(__xludf.DUMMYFUNCTION("""COMPUTED_VALUE"""),36)</f>
        <v>36</v>
      </c>
      <c r="B37" s="38" t="str">
        <f>IFERROR(__xludf.DUMMYFUNCTION("""COMPUTED_VALUE"""),"Supiatun Nissa, A.Md.Far")</f>
        <v>Supiatun Nissa, A.Md.Far</v>
      </c>
      <c r="C37" s="38" t="str">
        <f>IFERROR(__xludf.DUMMYFUNCTION("""COMPUTED_VALUE"""),"a@gmail.com")</f>
        <v>a@gmail.com</v>
      </c>
      <c r="D37" s="38" t="str">
        <f>IFERROR(__xludf.DUMMYFUNCTION("""COMPUTED_VALUE"""),"199303022024212003")</f>
        <v>199303022024212003</v>
      </c>
      <c r="E37" s="38" t="str">
        <f>IFERROR(__xludf.DUMMYFUNCTION("""COMPUTED_VALUE"""),"6472044203930007")</f>
        <v>6472044203930007</v>
      </c>
      <c r="F37" s="38" t="str">
        <f>IFERROR(__xludf.DUMMYFUNCTION("""COMPUTED_VALUE"""),"P")</f>
        <v>P</v>
      </c>
      <c r="G37" s="38" t="str">
        <f>IFERROR(__xludf.DUMMYFUNCTION("""COMPUTED_VALUE"""),"samarinda,2 Maret 1993")</f>
        <v>samarinda,2 Maret 1993</v>
      </c>
      <c r="H37" s="39">
        <f>IFERROR(__xludf.DUMMYFUNCTION("""COMPUTED_VALUE"""),34030)</f>
        <v>34030</v>
      </c>
      <c r="I37" s="38">
        <f>IFERROR(__xludf.DUMMYFUNCTION("""COMPUTED_VALUE"""),33)</f>
        <v>33</v>
      </c>
      <c r="J37" s="38" t="str">
        <f>IFERROR(__xludf.DUMMYFUNCTION("""COMPUTED_VALUE"""),"D3 FARMASI")</f>
        <v>D3 FARMASI</v>
      </c>
      <c r="K37" s="38" t="str">
        <f>IFERROR(__xludf.DUMMYFUNCTION("""COMPUTED_VALUE"""),"JL.SUNGAI KAPIH GG.WIDYA GAMA NO.33 RT 6 KEC.SAMBUTAN SAMARINDA")</f>
        <v>JL.SUNGAI KAPIH GG.WIDYA GAMA NO.33 RT 6 KEC.SAMBUTAN SAMARINDA</v>
      </c>
      <c r="L37" s="38" t="str">
        <f>IFERROR(__xludf.DUMMYFUNCTION("""COMPUTED_VALUE"""),"AKFAR UNMUL SAMARINDA")</f>
        <v>AKFAR UNMUL SAMARINDA</v>
      </c>
      <c r="M37" s="38" t="str">
        <f>IFERROR(__xludf.DUMMYFUNCTION("""COMPUTED_VALUE"""),"TTK")</f>
        <v>TTK</v>
      </c>
      <c r="N37" s="39">
        <f>IFERROR(__xludf.DUMMYFUNCTION("""COMPUTED_VALUE"""),43374)</f>
        <v>43374</v>
      </c>
      <c r="O37" s="39">
        <f>IFERROR(__xludf.DUMMYFUNCTION("""COMPUTED_VALUE"""),46211.4145195486)</f>
        <v>46211.4145195486</v>
      </c>
      <c r="P37" s="38" t="str">
        <f>IFERROR(__xludf.DUMMYFUNCTION("""COMPUTED_VALUE"""),"7 Tahun9 Bulan")</f>
        <v>7 Tahun9 Bulan</v>
      </c>
      <c r="Q37" s="38" t="str">
        <f>IFERROR(__xludf.DUMMYFUNCTION("""COMPUTED_VALUE"""),"Staff IGD &amp; Ibs")</f>
        <v>Staff IGD &amp; Ibs</v>
      </c>
      <c r="R37" s="38" t="str">
        <f>IFERROR(__xludf.DUMMYFUNCTION("""COMPUTED_VALUE"""),"PPPK")</f>
        <v>PPPK</v>
      </c>
      <c r="S37" s="38" t="str">
        <f>IFERROR(__xludf.DUMMYFUNCTION("""COMPUTED_VALUE"""),"19930302/STRTTK-64/2016/24679")</f>
        <v>19930302/STRTTK-64/2016/24679</v>
      </c>
      <c r="T37" s="39">
        <f>IFERROR(__xludf.DUMMYFUNCTION("""COMPUTED_VALUE"""),46083)</f>
        <v>46083</v>
      </c>
      <c r="U37" s="39">
        <f>IFERROR(__xludf.DUMMYFUNCTION("""COMPUTED_VALUE"""),46211.4145195717)</f>
        <v>46211.4145195717</v>
      </c>
      <c r="V37" s="38" t="str">
        <f>IFERROR(__xludf.DUMMYFUNCTION("""COMPUTED_VALUE"""),"#NUM!")</f>
        <v>#NUM!</v>
      </c>
      <c r="W37" s="38" t="str">
        <f>IFERROR(__xludf.DUMMYFUNCTION("""COMPUTED_VALUE"""),"19930302/SIPTTK/64.03/2021/2/045")</f>
        <v>19930302/SIPTTK/64.03/2021/2/045</v>
      </c>
      <c r="X37" s="39">
        <f>IFERROR(__xludf.DUMMYFUNCTION("""COMPUTED_VALUE"""),46083)</f>
        <v>46083</v>
      </c>
      <c r="Y37" s="39">
        <f>IFERROR(__xludf.DUMMYFUNCTION("""COMPUTED_VALUE"""),46211.4145195833)</f>
        <v>46211.4145195833</v>
      </c>
      <c r="Z37" s="38" t="str">
        <f>IFERROR(__xludf.DUMMYFUNCTION("""COMPUTED_VALUE"""),"#NUM!")</f>
        <v>#NUM!</v>
      </c>
      <c r="AA37" s="38" t="str">
        <f>IFERROR(__xludf.DUMMYFUNCTION("""COMPUTED_VALUE"""),"DATA BASE_Images/45.FOTO.024449.jpg")</f>
        <v>DATA BASE_Images/45.FOTO.024449.jpg</v>
      </c>
      <c r="AB37" s="38"/>
      <c r="AC37" s="38"/>
      <c r="AD37" s="38" t="str">
        <f>IFERROR(__xludf.DUMMYFUNCTION("""COMPUTED_VALUE"""),"DATA BASE_Files_/45.FILE STR.004636.pdf")</f>
        <v>DATA BASE_Files_/45.FILE STR.004636.pdf</v>
      </c>
      <c r="AE37" s="38" t="str">
        <f>IFERROR(__xludf.DUMMYFUNCTION("""COMPUTED_VALUE"""),"DATA BASE_Files_/45.FILE SIPA.004636.pdf")</f>
        <v>DATA BASE_Files_/45.FILE SIPA.004636.pdf</v>
      </c>
      <c r="AF37" s="38" t="str">
        <f>IFERROR(__xludf.DUMMYFUNCTION("""COMPUTED_VALUE"""),"DATA BASE_Files_/45.FILE RKK.004637.pdf")</f>
        <v>DATA BASE_Files_/45.FILE RKK.004637.pdf</v>
      </c>
      <c r="AG37" s="38"/>
      <c r="AH37" s="38"/>
      <c r="AI37" s="38" t="str">
        <f>IFERROR(__xludf.DUMMYFUNCTION("""COMPUTED_VALUE"""),"3. IGD,IBS &amp;CATHLAB")</f>
        <v>3. IGD,IBS &amp;CATHLAB</v>
      </c>
      <c r="AJ37" s="38"/>
      <c r="AK37" s="38"/>
      <c r="AL37" s="38"/>
      <c r="AM37" s="38"/>
      <c r="AN37" s="38" t="str">
        <f>IFERROR(__xludf.DUMMYFUNCTION("""COMPUTED_VALUE"""),"AKTIF")</f>
        <v>AKTIF</v>
      </c>
    </row>
    <row r="38" ht="12.75" spans="1:40">
      <c r="A38" s="38">
        <f>IFERROR(__xludf.DUMMYFUNCTION("""COMPUTED_VALUE"""),37)</f>
        <v>37</v>
      </c>
      <c r="B38" s="38" t="str">
        <f>IFERROR(__xludf.DUMMYFUNCTION("""COMPUTED_VALUE"""),"Susiyanto Pangestu, A.Md.Farm")</f>
        <v>Susiyanto Pangestu, A.Md.Farm</v>
      </c>
      <c r="C38" s="38" t="str">
        <f>IFERROR(__xludf.DUMMYFUNCTION("""COMPUTED_VALUE"""),"a@gmail.com")</f>
        <v>a@gmail.com</v>
      </c>
      <c r="D38" s="38" t="str">
        <f>IFERROR(__xludf.DUMMYFUNCTION("""COMPUTED_VALUE"""),"199511042024211001")</f>
        <v>199511042024211001</v>
      </c>
      <c r="E38" s="38" t="str">
        <f>IFERROR(__xludf.DUMMYFUNCTION("""COMPUTED_VALUE"""),"6472040411950004")</f>
        <v>6472040411950004</v>
      </c>
      <c r="F38" s="38" t="str">
        <f>IFERROR(__xludf.DUMMYFUNCTION("""COMPUTED_VALUE"""),"L")</f>
        <v>L</v>
      </c>
      <c r="G38" s="38" t="str">
        <f>IFERROR(__xludf.DUMMYFUNCTION("""COMPUTED_VALUE"""),"Samarinda, 04 November 1995")</f>
        <v>Samarinda, 04 November 1995</v>
      </c>
      <c r="H38" s="39">
        <f>IFERROR(__xludf.DUMMYFUNCTION("""COMPUTED_VALUE"""),35007)</f>
        <v>35007</v>
      </c>
      <c r="I38" s="38">
        <f>IFERROR(__xludf.DUMMYFUNCTION("""COMPUTED_VALUE"""),30)</f>
        <v>30</v>
      </c>
      <c r="J38" s="38" t="str">
        <f>IFERROR(__xludf.DUMMYFUNCTION("""COMPUTED_VALUE"""),"D3 FARMASI")</f>
        <v>D3 FARMASI</v>
      </c>
      <c r="K38" s="38" t="str">
        <f>IFERROR(__xludf.DUMMYFUNCTION("""COMPUTED_VALUE"""),"JL.LESTARI RT.01 KEL.MAKROMAN KEC.SAMBUTAN.SAMARINDA")</f>
        <v>JL.LESTARI RT.01 KEL.MAKROMAN KEC.SAMBUTAN.SAMARINDA</v>
      </c>
      <c r="L38" s="38"/>
      <c r="M38" s="38" t="str">
        <f>IFERROR(__xludf.DUMMYFUNCTION("""COMPUTED_VALUE"""),"TTK")</f>
        <v>TTK</v>
      </c>
      <c r="N38" s="39">
        <f>IFERROR(__xludf.DUMMYFUNCTION("""COMPUTED_VALUE"""),44228)</f>
        <v>44228</v>
      </c>
      <c r="O38" s="39">
        <f>IFERROR(__xludf.DUMMYFUNCTION("""COMPUTED_VALUE"""),46211.4145195486)</f>
        <v>46211.4145195486</v>
      </c>
      <c r="P38" s="38" t="str">
        <f>IFERROR(__xludf.DUMMYFUNCTION("""COMPUTED_VALUE"""),"5 Tahun5 Bulan")</f>
        <v>5 Tahun5 Bulan</v>
      </c>
      <c r="Q38" s="38" t="str">
        <f>IFERROR(__xludf.DUMMYFUNCTION("""COMPUTED_VALUE"""),"Staff Gudang")</f>
        <v>Staff Gudang</v>
      </c>
      <c r="R38" s="38" t="str">
        <f>IFERROR(__xludf.DUMMYFUNCTION("""COMPUTED_VALUE"""),"PPPK")</f>
        <v>PPPK</v>
      </c>
      <c r="S38" s="38" t="str">
        <f>IFERROR(__xludf.DUMMYFUNCTION("""COMPUTED_VALUE"""),"19951104/STRTTK.64/2016/14846")</f>
        <v>19951104/STRTTK.64/2016/14846</v>
      </c>
      <c r="T38" s="39">
        <f>IFERROR(__xludf.DUMMYFUNCTION("""COMPUTED_VALUE"""),46330)</f>
        <v>46330</v>
      </c>
      <c r="U38" s="39">
        <f>IFERROR(__xludf.DUMMYFUNCTION("""COMPUTED_VALUE"""),46211.4145195717)</f>
        <v>46211.4145195717</v>
      </c>
      <c r="V38" s="38" t="str">
        <f>IFERROR(__xludf.DUMMYFUNCTION("""COMPUTED_VALUE"""),"0 Tahun3 Bulan")</f>
        <v>0 Tahun3 Bulan</v>
      </c>
      <c r="W38" s="38" t="str">
        <f>IFERROR(__xludf.DUMMYFUNCTION("""COMPUTED_VALUE"""),"19951104/SIPTTK 64.03/2021/1/012")</f>
        <v>19951104/SIPTTK 64.03/2021/1/012</v>
      </c>
      <c r="X38" s="39">
        <f>IFERROR(__xludf.DUMMYFUNCTION("""COMPUTED_VALUE"""),46330)</f>
        <v>46330</v>
      </c>
      <c r="Y38" s="39">
        <f>IFERROR(__xludf.DUMMYFUNCTION("""COMPUTED_VALUE"""),46211.4145195833)</f>
        <v>46211.4145195833</v>
      </c>
      <c r="Z38" s="38" t="str">
        <f>IFERROR(__xludf.DUMMYFUNCTION("""COMPUTED_VALUE"""),"0 Tahun3 Bulan")</f>
        <v>0 Tahun3 Bulan</v>
      </c>
      <c r="AA38" s="38" t="str">
        <f>IFERROR(__xludf.DUMMYFUNCTION("""COMPUTED_VALUE"""),"DATA BASE_Images/46.FOTO.022911.jpg")</f>
        <v>DATA BASE_Images/46.FOTO.022911.jpg</v>
      </c>
      <c r="AB38" s="38"/>
      <c r="AC38" s="38"/>
      <c r="AD38" s="38" t="str">
        <f>IFERROR(__xludf.DUMMYFUNCTION("""COMPUTED_VALUE"""),"DATA BASE_Files_/46.FILE STR.002037.pdf")</f>
        <v>DATA BASE_Files_/46.FILE STR.002037.pdf</v>
      </c>
      <c r="AE38" s="38" t="str">
        <f>IFERROR(__xludf.DUMMYFUNCTION("""COMPUTED_VALUE"""),"DATA BASE_Files_/46.FILE SIPA.002037.pdf")</f>
        <v>DATA BASE_Files_/46.FILE SIPA.002037.pdf</v>
      </c>
      <c r="AF38" s="38" t="str">
        <f>IFERROR(__xludf.DUMMYFUNCTION("""COMPUTED_VALUE"""),"DATA BASE_Files_/46.FILE RKK.002037.pdf")</f>
        <v>DATA BASE_Files_/46.FILE RKK.002037.pdf</v>
      </c>
      <c r="AG38" s="38"/>
      <c r="AH38" s="38"/>
      <c r="AI38" s="38" t="str">
        <f>IFERROR(__xludf.DUMMYFUNCTION("""COMPUTED_VALUE"""),"8. GUDANG FARMASI")</f>
        <v>8. GUDANG FARMASI</v>
      </c>
      <c r="AJ38" s="38"/>
      <c r="AK38" s="38"/>
      <c r="AL38" s="38"/>
      <c r="AM38" s="38"/>
      <c r="AN38" s="38" t="str">
        <f>IFERROR(__xludf.DUMMYFUNCTION("""COMPUTED_VALUE"""),"AKTIF")</f>
        <v>AKTIF</v>
      </c>
    </row>
    <row r="39" ht="12.75" spans="1:40">
      <c r="A39" s="38">
        <f>IFERROR(__xludf.DUMMYFUNCTION("""COMPUTED_VALUE"""),38)</f>
        <v>38</v>
      </c>
      <c r="B39" s="38" t="str">
        <f>IFERROR(__xludf.DUMMYFUNCTION("""COMPUTED_VALUE"""),"Ulfah Musyarofah Indah Sari, A.Md.Far")</f>
        <v>Ulfah Musyarofah Indah Sari, A.Md.Far</v>
      </c>
      <c r="C39" s="38" t="str">
        <f>IFERROR(__xludf.DUMMYFUNCTION("""COMPUTED_VALUE"""),"a@gmail.com")</f>
        <v>a@gmail.com</v>
      </c>
      <c r="D39" s="38" t="str">
        <f>IFERROR(__xludf.DUMMYFUNCTION("""COMPUTED_VALUE"""),"199201142024212003")</f>
        <v>199201142024212003</v>
      </c>
      <c r="E39" s="38" t="str">
        <f>IFERROR(__xludf.DUMMYFUNCTION("""COMPUTED_VALUE"""),"6402065401920001")</f>
        <v>6402065401920001</v>
      </c>
      <c r="F39" s="38" t="str">
        <f>IFERROR(__xludf.DUMMYFUNCTION("""COMPUTED_VALUE"""),"P")</f>
        <v>P</v>
      </c>
      <c r="G39" s="38" t="str">
        <f>IFERROR(__xludf.DUMMYFUNCTION("""COMPUTED_VALUE"""),"Tenggarong,14 januari 1992")</f>
        <v>Tenggarong,14 januari 1992</v>
      </c>
      <c r="H39" s="39">
        <f>IFERROR(__xludf.DUMMYFUNCTION("""COMPUTED_VALUE"""),33617)</f>
        <v>33617</v>
      </c>
      <c r="I39" s="38">
        <f>IFERROR(__xludf.DUMMYFUNCTION("""COMPUTED_VALUE"""),34)</f>
        <v>34</v>
      </c>
      <c r="J39" s="38" t="str">
        <f>IFERROR(__xludf.DUMMYFUNCTION("""COMPUTED_VALUE"""),"D3 FARMASI")</f>
        <v>D3 FARMASI</v>
      </c>
      <c r="K39" s="38" t="str">
        <f>IFERROR(__xludf.DUMMYFUNCTION("""COMPUTED_VALUE"""),"JL.PAHLAWAN DUSUN TRIHARJO RT.4 KEL BUKIT BIRU TENGGARONG")</f>
        <v>JL.PAHLAWAN DUSUN TRIHARJO RT.4 KEL BUKIT BIRU TENGGARONG</v>
      </c>
      <c r="L39" s="38" t="str">
        <f>IFERROR(__xludf.DUMMYFUNCTION("""COMPUTED_VALUE"""),"AKFAR SAMARINDA")</f>
        <v>AKFAR SAMARINDA</v>
      </c>
      <c r="M39" s="38" t="str">
        <f>IFERROR(__xludf.DUMMYFUNCTION("""COMPUTED_VALUE"""),"TTK")</f>
        <v>TTK</v>
      </c>
      <c r="N39" s="39">
        <f>IFERROR(__xludf.DUMMYFUNCTION("""COMPUTED_VALUE"""),42095)</f>
        <v>42095</v>
      </c>
      <c r="O39" s="39">
        <f>IFERROR(__xludf.DUMMYFUNCTION("""COMPUTED_VALUE"""),46211.4145195486)</f>
        <v>46211.4145195486</v>
      </c>
      <c r="P39" s="38" t="str">
        <f>IFERROR(__xludf.DUMMYFUNCTION("""COMPUTED_VALUE"""),"11 Tahun3 Bulan")</f>
        <v>11 Tahun3 Bulan</v>
      </c>
      <c r="Q39" s="38" t="str">
        <f>IFERROR(__xludf.DUMMYFUNCTION("""COMPUTED_VALUE"""),"Staff Rawat Inap")</f>
        <v>Staff Rawat Inap</v>
      </c>
      <c r="R39" s="38" t="str">
        <f>IFERROR(__xludf.DUMMYFUNCTION("""COMPUTED_VALUE"""),"PPPK")</f>
        <v>PPPK</v>
      </c>
      <c r="S39" s="38" t="str">
        <f>IFERROR(__xludf.DUMMYFUNCTION("""COMPUTED_VALUE"""),"19920114/STRTTK-64/2012/21500")</f>
        <v>19920114/STRTTK-64/2012/21500</v>
      </c>
      <c r="T39" s="39">
        <f>IFERROR(__xludf.DUMMYFUNCTION("""COMPUTED_VALUE"""),46401)</f>
        <v>46401</v>
      </c>
      <c r="U39" s="39">
        <f>IFERROR(__xludf.DUMMYFUNCTION("""COMPUTED_VALUE"""),46211.4145195717)</f>
        <v>46211.4145195717</v>
      </c>
      <c r="V39" s="38" t="str">
        <f>IFERROR(__xludf.DUMMYFUNCTION("""COMPUTED_VALUE"""),"0 Tahun6 Bulan")</f>
        <v>0 Tahun6 Bulan</v>
      </c>
      <c r="W39" s="38" t="str">
        <f>IFERROR(__xludf.DUMMYFUNCTION("""COMPUTED_VALUE"""),"19920114/SIPTTK/64.03/2022/2/106")</f>
        <v>19920114/SIPTTK/64.03/2022/2/106</v>
      </c>
      <c r="X39" s="39">
        <f>IFERROR(__xludf.DUMMYFUNCTION("""COMPUTED_VALUE"""),46401)</f>
        <v>46401</v>
      </c>
      <c r="Y39" s="39">
        <f>IFERROR(__xludf.DUMMYFUNCTION("""COMPUTED_VALUE"""),46211.4145195833)</f>
        <v>46211.4145195833</v>
      </c>
      <c r="Z39" s="38" t="str">
        <f>IFERROR(__xludf.DUMMYFUNCTION("""COMPUTED_VALUE"""),"0 Tahun6 Bulan")</f>
        <v>0 Tahun6 Bulan</v>
      </c>
      <c r="AA39" s="38" t="str">
        <f>IFERROR(__xludf.DUMMYFUNCTION("""COMPUTED_VALUE"""),"DATA BASE_Images/47.FOTO.025236.jpg")</f>
        <v>DATA BASE_Images/47.FOTO.025236.jpg</v>
      </c>
      <c r="AB39" s="38"/>
      <c r="AC39" s="38"/>
      <c r="AD39" s="38" t="str">
        <f>IFERROR(__xludf.DUMMYFUNCTION("""COMPUTED_VALUE"""),"DATA BASE_Files_/47.FILE STR.015801.pdf")</f>
        <v>DATA BASE_Files_/47.FILE STR.015801.pdf</v>
      </c>
      <c r="AE39" s="38" t="str">
        <f>IFERROR(__xludf.DUMMYFUNCTION("""COMPUTED_VALUE"""),"DATA BASE_Files_/47.FILE SIPA.015800.pdf")</f>
        <v>DATA BASE_Files_/47.FILE SIPA.015800.pdf</v>
      </c>
      <c r="AF39" s="38" t="str">
        <f>IFERROR(__xludf.DUMMYFUNCTION("""COMPUTED_VALUE"""),"DATA BASE_Files_/47.FILE RKK.015800.Far 2022-2025 - mu_jojo RKK.pdf")</f>
        <v>DATA BASE_Files_/47.FILE RKK.015800.Far 2022-2025 - mu_jojo RKK.pdf</v>
      </c>
      <c r="AG39" s="38"/>
      <c r="AH39" s="38"/>
      <c r="AI39" s="38" t="str">
        <f>IFERROR(__xludf.DUMMYFUNCTION("""COMPUTED_VALUE"""),"5. RAWAT INAP")</f>
        <v>5. RAWAT INAP</v>
      </c>
      <c r="AJ39" s="38"/>
      <c r="AK39" s="38"/>
      <c r="AL39" s="38"/>
      <c r="AM39" s="38"/>
      <c r="AN39" s="38" t="str">
        <f>IFERROR(__xludf.DUMMYFUNCTION("""COMPUTED_VALUE"""),"AKTIF")</f>
        <v>AKTIF</v>
      </c>
    </row>
    <row r="40" ht="12.75" spans="1:40">
      <c r="A40" s="38">
        <f>IFERROR(__xludf.DUMMYFUNCTION("""COMPUTED_VALUE"""),39)</f>
        <v>39</v>
      </c>
      <c r="B40" s="38" t="str">
        <f>IFERROR(__xludf.DUMMYFUNCTION("""COMPUTED_VALUE"""),"Vindy Rofandi, A.Md.Far")</f>
        <v>Vindy Rofandi, A.Md.Far</v>
      </c>
      <c r="C40" s="38" t="str">
        <f>IFERROR(__xludf.DUMMYFUNCTION("""COMPUTED_VALUE"""),"a@gmail.com")</f>
        <v>a@gmail.com</v>
      </c>
      <c r="D40" s="38" t="str">
        <f>IFERROR(__xludf.DUMMYFUNCTION("""COMPUTED_VALUE"""),"T199006142016041001")</f>
        <v>T199006142016041001</v>
      </c>
      <c r="E40" s="38" t="str">
        <f>IFERROR(__xludf.DUMMYFUNCTION("""COMPUTED_VALUE"""),"6404051406900006")</f>
        <v>6404051406900006</v>
      </c>
      <c r="F40" s="38" t="str">
        <f>IFERROR(__xludf.DUMMYFUNCTION("""COMPUTED_VALUE"""),"L")</f>
        <v>L</v>
      </c>
      <c r="G40" s="38" t="str">
        <f>IFERROR(__xludf.DUMMYFUNCTION("""COMPUTED_VALUE"""),"Tanah Grogot,14 Juni 1990")</f>
        <v>Tanah Grogot,14 Juni 1990</v>
      </c>
      <c r="H40" s="39">
        <f>IFERROR(__xludf.DUMMYFUNCTION("""COMPUTED_VALUE"""),33038)</f>
        <v>33038</v>
      </c>
      <c r="I40" s="38">
        <f>IFERROR(__xludf.DUMMYFUNCTION("""COMPUTED_VALUE"""),36)</f>
        <v>36</v>
      </c>
      <c r="J40" s="38" t="str">
        <f>IFERROR(__xludf.DUMMYFUNCTION("""COMPUTED_VALUE"""),"D3 FARMASI")</f>
        <v>D3 FARMASI</v>
      </c>
      <c r="K40" s="38" t="str">
        <f>IFERROR(__xludf.DUMMYFUNCTION("""COMPUTED_VALUE"""),"JL.DURIAN GG.MEGA NO.40 RT.22 KEL.MALUHU")</f>
        <v>JL.DURIAN GG.MEGA NO.40 RT.22 KEL.MALUHU</v>
      </c>
      <c r="L40" s="38" t="str">
        <f>IFERROR(__xludf.DUMMYFUNCTION("""COMPUTED_VALUE"""),"AKFAR SAMARINDA")</f>
        <v>AKFAR SAMARINDA</v>
      </c>
      <c r="M40" s="38" t="str">
        <f>IFERROR(__xludf.DUMMYFUNCTION("""COMPUTED_VALUE"""),"TTK")</f>
        <v>TTK</v>
      </c>
      <c r="N40" s="39">
        <f>IFERROR(__xludf.DUMMYFUNCTION("""COMPUTED_VALUE"""),42522)</f>
        <v>42522</v>
      </c>
      <c r="O40" s="39">
        <f>IFERROR(__xludf.DUMMYFUNCTION("""COMPUTED_VALUE"""),46211.4145195486)</f>
        <v>46211.4145195486</v>
      </c>
      <c r="P40" s="38" t="str">
        <f>IFERROR(__xludf.DUMMYFUNCTION("""COMPUTED_VALUE"""),"10 Tahun1 Bulan")</f>
        <v>10 Tahun1 Bulan</v>
      </c>
      <c r="Q40" s="38" t="str">
        <f>IFERROR(__xludf.DUMMYFUNCTION("""COMPUTED_VALUE"""),"Staff Onko")</f>
        <v>Staff Onko</v>
      </c>
      <c r="R40" s="38" t="str">
        <f>IFERROR(__xludf.DUMMYFUNCTION("""COMPUTED_VALUE"""),"PPPK")</f>
        <v>PPPK</v>
      </c>
      <c r="S40" s="38" t="str">
        <f>IFERROR(__xludf.DUMMYFUNCTION("""COMPUTED_VALUE"""),"19900614/STRTTK_64/2011/14695")</f>
        <v>19900614/STRTTK_64/2011/14695</v>
      </c>
      <c r="T40" s="39">
        <f>IFERROR(__xludf.DUMMYFUNCTION("""COMPUTED_VALUE"""),46187)</f>
        <v>46187</v>
      </c>
      <c r="U40" s="39">
        <f>IFERROR(__xludf.DUMMYFUNCTION("""COMPUTED_VALUE"""),46211.4145195717)</f>
        <v>46211.4145195717</v>
      </c>
      <c r="V40" s="38" t="str">
        <f>IFERROR(__xludf.DUMMYFUNCTION("""COMPUTED_VALUE"""),"#NUM!")</f>
        <v>#NUM!</v>
      </c>
      <c r="W40" s="38" t="str">
        <f>IFERROR(__xludf.DUMMYFUNCTION("""COMPUTED_VALUE"""),"19900614/SIPTTK_64.03/2021/1/001")</f>
        <v>19900614/SIPTTK_64.03/2021/1/001</v>
      </c>
      <c r="X40" s="39">
        <f>IFERROR(__xludf.DUMMYFUNCTION("""COMPUTED_VALUE"""),46187)</f>
        <v>46187</v>
      </c>
      <c r="Y40" s="39">
        <f>IFERROR(__xludf.DUMMYFUNCTION("""COMPUTED_VALUE"""),46211.4145195833)</f>
        <v>46211.4145195833</v>
      </c>
      <c r="Z40" s="38" t="str">
        <f>IFERROR(__xludf.DUMMYFUNCTION("""COMPUTED_VALUE"""),"#NUM!")</f>
        <v>#NUM!</v>
      </c>
      <c r="AA40" s="38" t="str">
        <f>IFERROR(__xludf.DUMMYFUNCTION("""COMPUTED_VALUE"""),"DATA BASE_Images/48.FOTO.075948.jpg")</f>
        <v>DATA BASE_Images/48.FOTO.075948.jpg</v>
      </c>
      <c r="AB40" s="38"/>
      <c r="AC40" s="38"/>
      <c r="AD40" s="38" t="str">
        <f>IFERROR(__xludf.DUMMYFUNCTION("""COMPUTED_VALUE"""),"DATA BASE_Files_/48.FILE STR.075948.pdf")</f>
        <v>DATA BASE_Files_/48.FILE STR.075948.pdf</v>
      </c>
      <c r="AE40" s="38" t="str">
        <f>IFERROR(__xludf.DUMMYFUNCTION("""COMPUTED_VALUE"""),"DATA BASE_Files_/48.FILE SIPA.075948.pdf")</f>
        <v>DATA BASE_Files_/48.FILE SIPA.075948.pdf</v>
      </c>
      <c r="AF40" s="38" t="str">
        <f>IFERROR(__xludf.DUMMYFUNCTION("""COMPUTED_VALUE"""),"DATA BASE_Files_/48.FILE RKK.075952.pdf")</f>
        <v>DATA BASE_Files_/48.FILE RKK.075952.pdf</v>
      </c>
      <c r="AG40" s="38"/>
      <c r="AH40" s="38"/>
      <c r="AI40" s="38" t="str">
        <f>IFERROR(__xludf.DUMMYFUNCTION("""COMPUTED_VALUE"""),"7. UPSS")</f>
        <v>7. UPSS</v>
      </c>
      <c r="AJ40" s="38"/>
      <c r="AK40" s="38"/>
      <c r="AL40" s="38"/>
      <c r="AM40" s="38"/>
      <c r="AN40" s="38" t="str">
        <f>IFERROR(__xludf.DUMMYFUNCTION("""COMPUTED_VALUE"""),"AKTIF")</f>
        <v>AKTIF</v>
      </c>
    </row>
    <row r="41" ht="12.75" spans="1:40">
      <c r="A41" s="38">
        <f>IFERROR(__xludf.DUMMYFUNCTION("""COMPUTED_VALUE"""),40)</f>
        <v>40</v>
      </c>
      <c r="B41" s="38" t="str">
        <f>IFERROR(__xludf.DUMMYFUNCTION("""COMPUTED_VALUE"""),"Vivi Elvira, S.Farm")</f>
        <v>Vivi Elvira, S.Farm</v>
      </c>
      <c r="C41" s="38" t="str">
        <f>IFERROR(__xludf.DUMMYFUNCTION("""COMPUTED_VALUE"""),"a@gmail.com")</f>
        <v>a@gmail.com</v>
      </c>
      <c r="D41" s="38" t="str">
        <f>IFERROR(__xludf.DUMMYFUNCTION("""COMPUTED_VALUE"""),"199401232025212061")</f>
        <v>199401232025212061</v>
      </c>
      <c r="E41" s="38" t="str">
        <f>IFERROR(__xludf.DUMMYFUNCTION("""COMPUTED_VALUE"""),"6402036301940002")</f>
        <v>6402036301940002</v>
      </c>
      <c r="F41" s="38" t="str">
        <f>IFERROR(__xludf.DUMMYFUNCTION("""COMPUTED_VALUE"""),"P")</f>
        <v>P</v>
      </c>
      <c r="G41" s="38" t="str">
        <f>IFERROR(__xludf.DUMMYFUNCTION("""COMPUTED_VALUE"""),"Bima, 23 Januari 1994")</f>
        <v>Bima, 23 Januari 1994</v>
      </c>
      <c r="H41" s="39">
        <f>IFERROR(__xludf.DUMMYFUNCTION("""COMPUTED_VALUE"""),34357)</f>
        <v>34357</v>
      </c>
      <c r="I41" s="38">
        <f>IFERROR(__xludf.DUMMYFUNCTION("""COMPUTED_VALUE"""),32)</f>
        <v>32</v>
      </c>
      <c r="J41" s="38" t="str">
        <f>IFERROR(__xludf.DUMMYFUNCTION("""COMPUTED_VALUE"""),"D3 FARMASI")</f>
        <v>D3 FARMASI</v>
      </c>
      <c r="K41" s="38" t="str">
        <f>IFERROR(__xludf.DUMMYFUNCTION("""COMPUTED_VALUE"""),"JL.GUNUNG BATU DALAM RT.19 RW 4 LOA DURI")</f>
        <v>JL.GUNUNG BATU DALAM RT.19 RW 4 LOA DURI</v>
      </c>
      <c r="L41" s="38" t="str">
        <f>IFERROR(__xludf.DUMMYFUNCTION("""COMPUTED_VALUE"""),"AKFAR SAMARINDA")</f>
        <v>AKFAR SAMARINDA</v>
      </c>
      <c r="M41" s="38" t="str">
        <f>IFERROR(__xludf.DUMMYFUNCTION("""COMPUTED_VALUE"""),"Administrator Kesehatan")</f>
        <v>Administrator Kesehatan</v>
      </c>
      <c r="N41" s="39">
        <f>IFERROR(__xludf.DUMMYFUNCTION("""COMPUTED_VALUE"""),44593)</f>
        <v>44593</v>
      </c>
      <c r="O41" s="39">
        <f>IFERROR(__xludf.DUMMYFUNCTION("""COMPUTED_VALUE"""),46211.4145195486)</f>
        <v>46211.4145195486</v>
      </c>
      <c r="P41" s="38" t="str">
        <f>IFERROR(__xludf.DUMMYFUNCTION("""COMPUTED_VALUE"""),"4 Tahun5 Bulan")</f>
        <v>4 Tahun5 Bulan</v>
      </c>
      <c r="Q41" s="38" t="str">
        <f>IFERROR(__xludf.DUMMYFUNCTION("""COMPUTED_VALUE"""),"Staff IGD &amp; Ibs")</f>
        <v>Staff IGD &amp; Ibs</v>
      </c>
      <c r="R41" s="38" t="str">
        <f>IFERROR(__xludf.DUMMYFUNCTION("""COMPUTED_VALUE"""),"PPPK PW")</f>
        <v>PPPK PW</v>
      </c>
      <c r="S41" s="38" t="str">
        <f>IFERROR(__xludf.DUMMYFUNCTION("""COMPUTED_VALUE"""),"19940402/STRTTK.64/201624448")</f>
        <v>19940402/STRTTK.64/201624448</v>
      </c>
      <c r="T41" s="39">
        <f>IFERROR(__xludf.DUMMYFUNCTION("""COMPUTED_VALUE"""),45749)</f>
        <v>45749</v>
      </c>
      <c r="U41" s="39">
        <f>IFERROR(__xludf.DUMMYFUNCTION("""COMPUTED_VALUE"""),46211.4145195717)</f>
        <v>46211.4145195717</v>
      </c>
      <c r="V41" s="38" t="str">
        <f>IFERROR(__xludf.DUMMYFUNCTION("""COMPUTED_VALUE"""),"#NUM!")</f>
        <v>#NUM!</v>
      </c>
      <c r="W41" s="38" t="str">
        <f>IFERROR(__xludf.DUMMYFUNCTION("""COMPUTED_VALUE"""),"19950402/SIPTTK 64.03/2021/2/014")</f>
        <v>19950402/SIPTTK 64.03/2021/2/014</v>
      </c>
      <c r="X41" s="39">
        <f>IFERROR(__xludf.DUMMYFUNCTION("""COMPUTED_VALUE"""),45749)</f>
        <v>45749</v>
      </c>
      <c r="Y41" s="39">
        <f>IFERROR(__xludf.DUMMYFUNCTION("""COMPUTED_VALUE"""),46211.4145195833)</f>
        <v>46211.4145195833</v>
      </c>
      <c r="Z41" s="38" t="str">
        <f>IFERROR(__xludf.DUMMYFUNCTION("""COMPUTED_VALUE"""),"#NUM!")</f>
        <v>#NUM!</v>
      </c>
      <c r="AA41" s="38" t="str">
        <f>IFERROR(__xludf.DUMMYFUNCTION("""COMPUTED_VALUE"""),"DATA BASE_Images/49.FOTO.025251.jpg")</f>
        <v>DATA BASE_Images/49.FOTO.025251.jpg</v>
      </c>
      <c r="AB41" s="38"/>
      <c r="AC41" s="38"/>
      <c r="AD41" s="38" t="str">
        <f>IFERROR(__xludf.DUMMYFUNCTION("""COMPUTED_VALUE"""),"DATA BASE_Files_/49.FILE STR.015859.pdf")</f>
        <v>DATA BASE_Files_/49.FILE STR.015859.pdf</v>
      </c>
      <c r="AE41" s="38" t="str">
        <f>IFERROR(__xludf.DUMMYFUNCTION("""COMPUTED_VALUE"""),"DATA BASE_Files_/49.FILE SIPA.015859.pdf")</f>
        <v>DATA BASE_Files_/49.FILE SIPA.015859.pdf</v>
      </c>
      <c r="AF41" s="38" t="str">
        <f>IFERROR(__xludf.DUMMYFUNCTION("""COMPUTED_VALUE"""),"DATA BASE_Files_/49.FILE RKK.015859.pdf")</f>
        <v>DATA BASE_Files_/49.FILE RKK.015859.pdf</v>
      </c>
      <c r="AG41" s="38"/>
      <c r="AH41" s="38"/>
      <c r="AI41" s="38" t="str">
        <f>IFERROR(__xludf.DUMMYFUNCTION("""COMPUTED_VALUE"""),"6. RAWAT JALAN")</f>
        <v>6. RAWAT JALAN</v>
      </c>
      <c r="AJ41" s="38"/>
      <c r="AK41" s="38"/>
      <c r="AL41" s="38"/>
      <c r="AM41" s="38"/>
      <c r="AN41" s="38" t="str">
        <f>IFERROR(__xludf.DUMMYFUNCTION("""COMPUTED_VALUE"""),"AKTIF")</f>
        <v>AKTIF</v>
      </c>
    </row>
    <row r="42" ht="12.75" spans="1:40">
      <c r="A42" s="38">
        <f>IFERROR(__xludf.DUMMYFUNCTION("""COMPUTED_VALUE"""),41)</f>
        <v>41</v>
      </c>
      <c r="B42" s="38" t="str">
        <f>IFERROR(__xludf.DUMMYFUNCTION("""COMPUTED_VALUE"""),"Yudha Setiawan, A.Md.Far")</f>
        <v>Yudha Setiawan, A.Md.Far</v>
      </c>
      <c r="C42" s="38" t="str">
        <f>IFERROR(__xludf.DUMMYFUNCTION("""COMPUTED_VALUE"""),"a@gmail.com")</f>
        <v>a@gmail.com</v>
      </c>
      <c r="D42" s="38" t="str">
        <f>IFERROR(__xludf.DUMMYFUNCTION("""COMPUTED_VALUE"""),"199212032024211002")</f>
        <v>199212032024211002</v>
      </c>
      <c r="E42" s="38" t="str">
        <f>IFERROR(__xludf.DUMMYFUNCTION("""COMPUTED_VALUE"""),"6472060312920001")</f>
        <v>6472060312920001</v>
      </c>
      <c r="F42" s="38" t="str">
        <f>IFERROR(__xludf.DUMMYFUNCTION("""COMPUTED_VALUE"""),"L")</f>
        <v>L</v>
      </c>
      <c r="G42" s="38" t="str">
        <f>IFERROR(__xludf.DUMMYFUNCTION("""COMPUTED_VALUE"""),"Samarinda,3 Desember 1992")</f>
        <v>Samarinda,3 Desember 1992</v>
      </c>
      <c r="H42" s="39">
        <f>IFERROR(__xludf.DUMMYFUNCTION("""COMPUTED_VALUE"""),33941)</f>
        <v>33941</v>
      </c>
      <c r="I42" s="38">
        <f>IFERROR(__xludf.DUMMYFUNCTION("""COMPUTED_VALUE"""),33)</f>
        <v>33</v>
      </c>
      <c r="J42" s="38" t="str">
        <f>IFERROR(__xludf.DUMMYFUNCTION("""COMPUTED_VALUE"""),"D3 FARMASI")</f>
        <v>D3 FARMASI</v>
      </c>
      <c r="K42" s="38" t="str">
        <f>IFERROR(__xludf.DUMMYFUNCTION("""COMPUTED_VALUE"""),"JL.JAKARTA BLOK B6 NO.4 KEL.LOA BAKUNG KEC.SUNGAI KUNJANG SAMARINDA")</f>
        <v>JL.JAKARTA BLOK B6 NO.4 KEL.LOA BAKUNG KEC.SUNGAI KUNJANG SAMARINDA</v>
      </c>
      <c r="L42" s="38" t="str">
        <f>IFERROR(__xludf.DUMMYFUNCTION("""COMPUTED_VALUE"""),"AKFAR SAMARINDA")</f>
        <v>AKFAR SAMARINDA</v>
      </c>
      <c r="M42" s="38" t="str">
        <f>IFERROR(__xludf.DUMMYFUNCTION("""COMPUTED_VALUE"""),"TTK")</f>
        <v>TTK</v>
      </c>
      <c r="N42" s="39">
        <f>IFERROR(__xludf.DUMMYFUNCTION("""COMPUTED_VALUE"""),42461)</f>
        <v>42461</v>
      </c>
      <c r="O42" s="39">
        <f>IFERROR(__xludf.DUMMYFUNCTION("""COMPUTED_VALUE"""),46211.4145195486)</f>
        <v>46211.4145195486</v>
      </c>
      <c r="P42" s="38" t="str">
        <f>IFERROR(__xludf.DUMMYFUNCTION("""COMPUTED_VALUE"""),"10 Tahun3 Bulan")</f>
        <v>10 Tahun3 Bulan</v>
      </c>
      <c r="Q42" s="38" t="str">
        <f>IFERROR(__xludf.DUMMYFUNCTION("""COMPUTED_VALUE"""),"Staff Rawat Inap")</f>
        <v>Staff Rawat Inap</v>
      </c>
      <c r="R42" s="38" t="str">
        <f>IFERROR(__xludf.DUMMYFUNCTION("""COMPUTED_VALUE"""),"PPPK")</f>
        <v>PPPK</v>
      </c>
      <c r="S42" s="38" t="str">
        <f>IFERROR(__xludf.DUMMYFUNCTION("""COMPUTED_VALUE"""),"19921203/STRTTK-64/2013/11702")</f>
        <v>19921203/STRTTK-64/2013/11702</v>
      </c>
      <c r="T42" s="39">
        <f>IFERROR(__xludf.DUMMYFUNCTION("""COMPUTED_VALUE"""),47090)</f>
        <v>47090</v>
      </c>
      <c r="U42" s="39">
        <f>IFERROR(__xludf.DUMMYFUNCTION("""COMPUTED_VALUE"""),46211.4145195717)</f>
        <v>46211.4145195717</v>
      </c>
      <c r="V42" s="38" t="str">
        <f>IFERROR(__xludf.DUMMYFUNCTION("""COMPUTED_VALUE"""),"2 Tahun4 Bulan")</f>
        <v>2 Tahun4 Bulan</v>
      </c>
      <c r="W42" s="38" t="str">
        <f>IFERROR(__xludf.DUMMYFUNCTION("""COMPUTED_VALUE"""),"19921203/SIPTTK/64.03/2019/1008")</f>
        <v>19921203/SIPTTK/64.03/2019/1008</v>
      </c>
      <c r="X42" s="39">
        <f>IFERROR(__xludf.DUMMYFUNCTION("""COMPUTED_VALUE"""),47090)</f>
        <v>47090</v>
      </c>
      <c r="Y42" s="39">
        <f>IFERROR(__xludf.DUMMYFUNCTION("""COMPUTED_VALUE"""),46211.4145195833)</f>
        <v>46211.4145195833</v>
      </c>
      <c r="Z42" s="38" t="str">
        <f>IFERROR(__xludf.DUMMYFUNCTION("""COMPUTED_VALUE"""),"2 Tahun4 Bulan")</f>
        <v>2 Tahun4 Bulan</v>
      </c>
      <c r="AA42" s="38" t="str">
        <f>IFERROR(__xludf.DUMMYFUNCTION("""COMPUTED_VALUE"""),"DATA BASE_Images/50.FOTO.031314.jpg")</f>
        <v>DATA BASE_Images/50.FOTO.031314.jpg</v>
      </c>
      <c r="AB42" s="38"/>
      <c r="AC42" s="38"/>
      <c r="AD42" s="38" t="str">
        <f>IFERROR(__xludf.DUMMYFUNCTION("""COMPUTED_VALUE"""),"DATA BASE_Files_/50.FILE STR.015935.md Far - STRTTK - Yeni Pristiani.pdf")</f>
        <v>DATA BASE_Files_/50.FILE STR.015935.md Far - STRTTK - Yeni Pristiani.pdf</v>
      </c>
      <c r="AE42" s="38" t="str">
        <f>IFERROR(__xludf.DUMMYFUNCTION("""COMPUTED_VALUE"""),"DATA BASE_Files_/50.FILE SIPA.015935.md Far - SIPTTK - Yeni Pristiani.pdf")</f>
        <v>DATA BASE_Files_/50.FILE SIPA.015935.md Far - SIPTTK - Yeni Pristiani.pdf</v>
      </c>
      <c r="AF42" s="38" t="str">
        <f>IFERROR(__xludf.DUMMYFUNCTION("""COMPUTED_VALUE"""),"DATA BASE_Files_/50.FILE RKK.015935.md Far - SPK RKK - Yeni Pristiani.pdf")</f>
        <v>DATA BASE_Files_/50.FILE RKK.015935.md Far - SPK RKK - Yeni Pristiani.pdf</v>
      </c>
      <c r="AG42" s="38"/>
      <c r="AH42" s="38"/>
      <c r="AI42" s="38" t="str">
        <f>IFERROR(__xludf.DUMMYFUNCTION("""COMPUTED_VALUE"""),"5. RAWAT INAP")</f>
        <v>5. RAWAT INAP</v>
      </c>
      <c r="AJ42" s="38"/>
      <c r="AK42" s="38"/>
      <c r="AL42" s="38"/>
      <c r="AM42" s="38"/>
      <c r="AN42" s="38" t="str">
        <f>IFERROR(__xludf.DUMMYFUNCTION("""COMPUTED_VALUE"""),"AKTIF")</f>
        <v>AKTIF</v>
      </c>
    </row>
    <row r="43" ht="12.75" spans="1:40">
      <c r="A43" s="38">
        <f>IFERROR(__xludf.DUMMYFUNCTION("""COMPUTED_VALUE"""),42)</f>
        <v>42</v>
      </c>
      <c r="B43" s="38" t="str">
        <f>IFERROR(__xludf.DUMMYFUNCTION("""COMPUTED_VALUE"""),"Yuni Anisa Ningsih, A. Md. Farm")</f>
        <v>Yuni Anisa Ningsih, A. Md. Farm</v>
      </c>
      <c r="C43" s="38" t="str">
        <f>IFERROR(__xludf.DUMMYFUNCTION("""COMPUTED_VALUE"""),"a@gmail.com")</f>
        <v>a@gmail.com</v>
      </c>
      <c r="D43" s="38" t="str">
        <f>IFERROR(__xludf.DUMMYFUNCTION("""COMPUTED_VALUE"""),"199606052025212087")</f>
        <v>199606052025212087</v>
      </c>
      <c r="E43" s="38" t="str">
        <f>IFERROR(__xludf.DUMMYFUNCTION("""COMPUTED_VALUE"""),"6402064506960001")</f>
        <v>6402064506960001</v>
      </c>
      <c r="F43" s="38" t="str">
        <f>IFERROR(__xludf.DUMMYFUNCTION("""COMPUTED_VALUE"""),"P")</f>
        <v>P</v>
      </c>
      <c r="G43" s="38" t="str">
        <f>IFERROR(__xludf.DUMMYFUNCTION("""COMPUTED_VALUE"""),"Tenggarong,5 Juni 1996")</f>
        <v>Tenggarong,5 Juni 1996</v>
      </c>
      <c r="H43" s="39">
        <f>IFERROR(__xludf.DUMMYFUNCTION("""COMPUTED_VALUE"""),35221)</f>
        <v>35221</v>
      </c>
      <c r="I43" s="38">
        <f>IFERROR(__xludf.DUMMYFUNCTION("""COMPUTED_VALUE"""),30)</f>
        <v>30</v>
      </c>
      <c r="J43" s="38" t="str">
        <f>IFERROR(__xludf.DUMMYFUNCTION("""COMPUTED_VALUE"""),"D3 FARMASI")</f>
        <v>D3 FARMASI</v>
      </c>
      <c r="K43" s="38" t="str">
        <f>IFERROR(__xludf.DUMMYFUNCTION("""COMPUTED_VALUE"""),"JL.MJ.PANJAITAN GG.IKHLAS RT.7 NO.53 TENGGARONG")</f>
        <v>JL.MJ.PANJAITAN GG.IKHLAS RT.7 NO.53 TENGGARONG</v>
      </c>
      <c r="L43" s="38" t="str">
        <f>IFERROR(__xludf.DUMMYFUNCTION("""COMPUTED_VALUE"""),"AKFAR UNMUL SAMRINDA")</f>
        <v>AKFAR UNMUL SAMRINDA</v>
      </c>
      <c r="M43" s="38" t="str">
        <f>IFERROR(__xludf.DUMMYFUNCTION("""COMPUTED_VALUE"""),"TTK")</f>
        <v>TTK</v>
      </c>
      <c r="N43" s="39">
        <f>IFERROR(__xludf.DUMMYFUNCTION("""COMPUTED_VALUE"""),43862)</f>
        <v>43862</v>
      </c>
      <c r="O43" s="39">
        <f>IFERROR(__xludf.DUMMYFUNCTION("""COMPUTED_VALUE"""),46211.4145195486)</f>
        <v>46211.4145195486</v>
      </c>
      <c r="P43" s="38" t="str">
        <f>IFERROR(__xludf.DUMMYFUNCTION("""COMPUTED_VALUE"""),"6 Tahun5 Bulan")</f>
        <v>6 Tahun5 Bulan</v>
      </c>
      <c r="Q43" s="38" t="str">
        <f>IFERROR(__xludf.DUMMYFUNCTION("""COMPUTED_VALUE"""),"Staff Rawat Inap")</f>
        <v>Staff Rawat Inap</v>
      </c>
      <c r="R43" s="38" t="str">
        <f>IFERROR(__xludf.DUMMYFUNCTION("""COMPUTED_VALUE"""),"PPPK PW")</f>
        <v>PPPK PW</v>
      </c>
      <c r="S43" s="38" t="str">
        <f>IFERROR(__xludf.DUMMYFUNCTION("""COMPUTED_VALUE"""),"19960605/STRTTK-64/2017/23509")</f>
        <v>19960605/STRTTK-64/2017/23509</v>
      </c>
      <c r="T43" s="39">
        <f>IFERROR(__xludf.DUMMYFUNCTION("""COMPUTED_VALUE"""),46543)</f>
        <v>46543</v>
      </c>
      <c r="U43" s="39">
        <f>IFERROR(__xludf.DUMMYFUNCTION("""COMPUTED_VALUE"""),46211.4145195717)</f>
        <v>46211.4145195717</v>
      </c>
      <c r="V43" s="38" t="str">
        <f>IFERROR(__xludf.DUMMYFUNCTION("""COMPUTED_VALUE"""),"0 Tahun10 Bulan")</f>
        <v>0 Tahun10 Bulan</v>
      </c>
      <c r="W43" s="38" t="str">
        <f>IFERROR(__xludf.DUMMYFUNCTION("""COMPUTED_VALUE"""),"19960605/SIPTTK 64.30/2022/2/067")</f>
        <v>19960605/SIPTTK 64.30/2022/2/067</v>
      </c>
      <c r="X43" s="39">
        <f>IFERROR(__xludf.DUMMYFUNCTION("""COMPUTED_VALUE"""),46543)</f>
        <v>46543</v>
      </c>
      <c r="Y43" s="39">
        <f>IFERROR(__xludf.DUMMYFUNCTION("""COMPUTED_VALUE"""),46211.4145195833)</f>
        <v>46211.4145195833</v>
      </c>
      <c r="Z43" s="38" t="str">
        <f>IFERROR(__xludf.DUMMYFUNCTION("""COMPUTED_VALUE"""),"0 Tahun10 Bulan")</f>
        <v>0 Tahun10 Bulan</v>
      </c>
      <c r="AA43" s="38" t="str">
        <f>IFERROR(__xludf.DUMMYFUNCTION("""COMPUTED_VALUE"""),"DATA BASE_Images/51.FOTO.025304.jpg")</f>
        <v>DATA BASE_Images/51.FOTO.025304.jpg</v>
      </c>
      <c r="AB43" s="38"/>
      <c r="AC43" s="38"/>
      <c r="AD43" s="38" t="str">
        <f>IFERROR(__xludf.DUMMYFUNCTION("""COMPUTED_VALUE"""),"DATA BASE_Files_/51.FILE STR.020246.pdf")</f>
        <v>DATA BASE_Files_/51.FILE STR.020246.pdf</v>
      </c>
      <c r="AE43" s="38" t="str">
        <f>IFERROR(__xludf.DUMMYFUNCTION("""COMPUTED_VALUE"""),"DATA BASE_Files_/51.FILE SIPA.020246.pdf")</f>
        <v>DATA BASE_Files_/51.FILE SIPA.020246.pdf</v>
      </c>
      <c r="AF43" s="38" t="str">
        <f>IFERROR(__xludf.DUMMYFUNCTION("""COMPUTED_VALUE"""),"DATA BASE_Files_/51.FILE RKK.020246. - SPK RKK - anisa nisa.pdf")</f>
        <v>DATA BASE_Files_/51.FILE RKK.020246. - SPK RKK - anisa nisa.pdf</v>
      </c>
      <c r="AG43" s="38"/>
      <c r="AH43" s="38"/>
      <c r="AI43" s="38" t="str">
        <f>IFERROR(__xludf.DUMMYFUNCTION("""COMPUTED_VALUE"""),"5. RAWAT INAP")</f>
        <v>5. RAWAT INAP</v>
      </c>
      <c r="AJ43" s="38"/>
      <c r="AK43" s="38"/>
      <c r="AL43" s="38"/>
      <c r="AM43" s="38"/>
      <c r="AN43" s="38" t="str">
        <f>IFERROR(__xludf.DUMMYFUNCTION("""COMPUTED_VALUE"""),"AKTIF")</f>
        <v>AKTIF</v>
      </c>
    </row>
    <row r="44" ht="12.75" spans="1:40">
      <c r="A44" s="38">
        <f>IFERROR(__xludf.DUMMYFUNCTION("""COMPUTED_VALUE"""),43)</f>
        <v>43</v>
      </c>
      <c r="B44" s="38" t="str">
        <f>IFERROR(__xludf.DUMMYFUNCTION("""COMPUTED_VALUE"""),"Arjudin")</f>
        <v>Arjudin</v>
      </c>
      <c r="C44" s="38" t="str">
        <f>IFERROR(__xludf.DUMMYFUNCTION("""COMPUTED_VALUE"""),"a@gmail.com")</f>
        <v>a@gmail.com</v>
      </c>
      <c r="D44" s="38" t="str">
        <f>IFERROR(__xludf.DUMMYFUNCTION("""COMPUTED_VALUE"""),"197507062009011004")</f>
        <v>197507062009011004</v>
      </c>
      <c r="E44" s="38" t="str">
        <f>IFERROR(__xludf.DUMMYFUNCTION("""COMPUTED_VALUE"""),"6402060607750003")</f>
        <v>6402060607750003</v>
      </c>
      <c r="F44" s="38" t="str">
        <f>IFERROR(__xludf.DUMMYFUNCTION("""COMPUTED_VALUE"""),"P")</f>
        <v>P</v>
      </c>
      <c r="G44" s="38" t="str">
        <f>IFERROR(__xludf.DUMMYFUNCTION("""COMPUTED_VALUE"""),"Tenggarong,6 Juli 1975")</f>
        <v>Tenggarong,6 Juli 1975</v>
      </c>
      <c r="H44" s="39">
        <f>IFERROR(__xludf.DUMMYFUNCTION("""COMPUTED_VALUE"""),27581)</f>
        <v>27581</v>
      </c>
      <c r="I44" s="38">
        <f>IFERROR(__xludf.DUMMYFUNCTION("""COMPUTED_VALUE"""),51)</f>
        <v>51</v>
      </c>
      <c r="J44" s="38" t="str">
        <f>IFERROR(__xludf.DUMMYFUNCTION("""COMPUTED_VALUE"""),"SMA")</f>
        <v>SMA</v>
      </c>
      <c r="K44" s="38"/>
      <c r="L44" s="38" t="str">
        <f>IFERROR(__xludf.DUMMYFUNCTION("""COMPUTED_VALUE"""),"SMA")</f>
        <v>SMA</v>
      </c>
      <c r="M44" s="38" t="str">
        <f>IFERROR(__xludf.DUMMYFUNCTION("""COMPUTED_VALUE"""),"UMUM")</f>
        <v>UMUM</v>
      </c>
      <c r="N44" s="39">
        <f>IFERROR(__xludf.DUMMYFUNCTION("""COMPUTED_VALUE"""),39814)</f>
        <v>39814</v>
      </c>
      <c r="O44" s="39">
        <f>IFERROR(__xludf.DUMMYFUNCTION("""COMPUTED_VALUE"""),46211.4145195486)</f>
        <v>46211.4145195486</v>
      </c>
      <c r="P44" s="38" t="str">
        <f>IFERROR(__xludf.DUMMYFUNCTION("""COMPUTED_VALUE"""),"17 Tahun6 Bulan")</f>
        <v>17 Tahun6 Bulan</v>
      </c>
      <c r="Q44" s="38" t="str">
        <f>IFERROR(__xludf.DUMMYFUNCTION("""COMPUTED_VALUE"""),"Staff Gudang")</f>
        <v>Staff Gudang</v>
      </c>
      <c r="R44" s="38" t="str">
        <f>IFERROR(__xludf.DUMMYFUNCTION("""COMPUTED_VALUE"""),"PNS")</f>
        <v>PNS</v>
      </c>
      <c r="S44" s="38"/>
      <c r="T44" s="39">
        <f>IFERROR(__xludf.DUMMYFUNCTION("""COMPUTED_VALUE"""),36892)</f>
        <v>36892</v>
      </c>
      <c r="U44" s="39">
        <f>IFERROR(__xludf.DUMMYFUNCTION("""COMPUTED_VALUE"""),46211.4145195717)</f>
        <v>46211.4145195717</v>
      </c>
      <c r="V44" s="38" t="str">
        <f>IFERROR(__xludf.DUMMYFUNCTION("""COMPUTED_VALUE"""),"#NUM!")</f>
        <v>#NUM!</v>
      </c>
      <c r="W44" s="38"/>
      <c r="X44" s="39">
        <f>IFERROR(__xludf.DUMMYFUNCTION("""COMPUTED_VALUE"""),36892)</f>
        <v>36892</v>
      </c>
      <c r="Y44" s="39">
        <f>IFERROR(__xludf.DUMMYFUNCTION("""COMPUTED_VALUE"""),46211.4145195833)</f>
        <v>46211.4145195833</v>
      </c>
      <c r="Z44" s="38" t="str">
        <f>IFERROR(__xludf.DUMMYFUNCTION("""COMPUTED_VALUE"""),"#NUM!")</f>
        <v>#NUM!</v>
      </c>
      <c r="AA44" s="38" t="str">
        <f>IFERROR(__xludf.DUMMYFUNCTION("""COMPUTED_VALUE"""),"DATA BASE_Images/52.FOTO.031027.jpg")</f>
        <v>DATA BASE_Images/52.FOTO.031027.jpg</v>
      </c>
      <c r="AB44" s="38"/>
      <c r="AC44" s="38"/>
      <c r="AD44" s="38"/>
      <c r="AE44" s="38"/>
      <c r="AF44" s="38"/>
      <c r="AG44" s="38" t="str">
        <f>IFERROR(__xludf.DUMMYFUNCTION("""COMPUTED_VALUE"""),"DATA BASE_Files_/52.IJAZAH.012843.pdf")</f>
        <v>DATA BASE_Files_/52.IJAZAH.012843.pdf</v>
      </c>
      <c r="AH44" s="38" t="str">
        <f>IFERROR(__xludf.DUMMYFUNCTION("""COMPUTED_VALUE"""),"DATA BASE_Files_/52.SK AWAL.012843.pdf")</f>
        <v>DATA BASE_Files_/52.SK AWAL.012843.pdf</v>
      </c>
      <c r="AI44" s="38" t="str">
        <f>IFERROR(__xludf.DUMMYFUNCTION("""COMPUTED_VALUE"""),"8. GUDANG FARMASI")</f>
        <v>8. GUDANG FARMASI</v>
      </c>
      <c r="AJ44" s="38"/>
      <c r="AK44" s="38"/>
      <c r="AL44" s="38"/>
      <c r="AM44" s="38"/>
      <c r="AN44" s="38" t="str">
        <f>IFERROR(__xludf.DUMMYFUNCTION("""COMPUTED_VALUE"""),"AKTIF")</f>
        <v>AKTIF</v>
      </c>
    </row>
    <row r="45" ht="12.75" spans="1:40">
      <c r="A45" s="38">
        <f>IFERROR(__xludf.DUMMYFUNCTION("""COMPUTED_VALUE"""),44)</f>
        <v>44</v>
      </c>
      <c r="B45" s="38" t="str">
        <f>IFERROR(__xludf.DUMMYFUNCTION("""COMPUTED_VALUE"""),"Dian Adrian")</f>
        <v>Dian Adrian</v>
      </c>
      <c r="C45" s="38" t="str">
        <f>IFERROR(__xludf.DUMMYFUNCTION("""COMPUTED_VALUE"""),"a@gmail.com")</f>
        <v>a@gmail.com</v>
      </c>
      <c r="D45" s="38" t="str">
        <f>IFERROR(__xludf.DUMMYFUNCTION("""COMPUTED_VALUE"""),"199607082025211014")</f>
        <v>199607082025211014</v>
      </c>
      <c r="E45" s="38" t="str">
        <f>IFERROR(__xludf.DUMMYFUNCTION("""COMPUTED_VALUE"""),"6402060807960004")</f>
        <v>6402060807960004</v>
      </c>
      <c r="F45" s="38" t="str">
        <f>IFERROR(__xludf.DUMMYFUNCTION("""COMPUTED_VALUE"""),"L")</f>
        <v>L</v>
      </c>
      <c r="G45" s="38" t="str">
        <f>IFERROR(__xludf.DUMMYFUNCTION("""COMPUTED_VALUE"""),"Tenggarong,8 Juli 1996")</f>
        <v>Tenggarong,8 Juli 1996</v>
      </c>
      <c r="H45" s="39">
        <f>IFERROR(__xludf.DUMMYFUNCTION("""COMPUTED_VALUE"""),35254)</f>
        <v>35254</v>
      </c>
      <c r="I45" s="38">
        <f>IFERROR(__xludf.DUMMYFUNCTION("""COMPUTED_VALUE"""),30)</f>
        <v>30</v>
      </c>
      <c r="J45" s="38" t="str">
        <f>IFERROR(__xludf.DUMMYFUNCTION("""COMPUTED_VALUE"""),"SMA")</f>
        <v>SMA</v>
      </c>
      <c r="K45" s="38"/>
      <c r="L45" s="38" t="str">
        <f>IFERROR(__xludf.DUMMYFUNCTION("""COMPUTED_VALUE"""),"SMK FARMASI TENGGARONG")</f>
        <v>SMK FARMASI TENGGARONG</v>
      </c>
      <c r="M45" s="38" t="str">
        <f>IFERROR(__xludf.DUMMYFUNCTION("""COMPUTED_VALUE"""),"UMUM")</f>
        <v>UMUM</v>
      </c>
      <c r="N45" s="39">
        <f>IFERROR(__xludf.DUMMYFUNCTION("""COMPUTED_VALUE"""),42095)</f>
        <v>42095</v>
      </c>
      <c r="O45" s="39">
        <f>IFERROR(__xludf.DUMMYFUNCTION("""COMPUTED_VALUE"""),46211.4145195486)</f>
        <v>46211.4145195486</v>
      </c>
      <c r="P45" s="38" t="str">
        <f>IFERROR(__xludf.DUMMYFUNCTION("""COMPUTED_VALUE"""),"11 Tahun3 Bulan")</f>
        <v>11 Tahun3 Bulan</v>
      </c>
      <c r="Q45" s="38" t="str">
        <f>IFERROR(__xludf.DUMMYFUNCTION("""COMPUTED_VALUE"""),"Staff Rawat jalan")</f>
        <v>Staff Rawat jalan</v>
      </c>
      <c r="R45" s="38" t="str">
        <f>IFERROR(__xludf.DUMMYFUNCTION("""COMPUTED_VALUE"""),"PPPK")</f>
        <v>PPPK</v>
      </c>
      <c r="S45" s="38"/>
      <c r="T45" s="40">
        <f>IFERROR(__xludf.DUMMYFUNCTION("""COMPUTED_VALUE"""),44551)</f>
        <v>44551</v>
      </c>
      <c r="U45" s="39">
        <f>IFERROR(__xludf.DUMMYFUNCTION("""COMPUTED_VALUE"""),46211.4145195717)</f>
        <v>46211.4145195717</v>
      </c>
      <c r="V45" s="38" t="str">
        <f>IFERROR(__xludf.DUMMYFUNCTION("""COMPUTED_VALUE"""),"#NUM!")</f>
        <v>#NUM!</v>
      </c>
      <c r="W45" s="38"/>
      <c r="X45" s="40">
        <f>IFERROR(__xludf.DUMMYFUNCTION("""COMPUTED_VALUE"""),44552)</f>
        <v>44552</v>
      </c>
      <c r="Y45" s="39">
        <f>IFERROR(__xludf.DUMMYFUNCTION("""COMPUTED_VALUE"""),46211.4145195833)</f>
        <v>46211.4145195833</v>
      </c>
      <c r="Z45" s="38" t="str">
        <f>IFERROR(__xludf.DUMMYFUNCTION("""COMPUTED_VALUE"""),"#NUM!")</f>
        <v>#NUM!</v>
      </c>
      <c r="AA45" s="38" t="str">
        <f>IFERROR(__xludf.DUMMYFUNCTION("""COMPUTED_VALUE"""),"DATA BASE_Images/53.FOTO.060026.png")</f>
        <v>DATA BASE_Images/53.FOTO.060026.png</v>
      </c>
      <c r="AB45" s="38"/>
      <c r="AC45" s="38"/>
      <c r="AD45" s="38"/>
      <c r="AE45" s="38"/>
      <c r="AF45" s="38"/>
      <c r="AG45" s="38" t="str">
        <f>IFERROR(__xludf.DUMMYFUNCTION("""COMPUTED_VALUE"""),"DATA BASE_Files_/53.IJAZAH.062835.pdf")</f>
        <v>DATA BASE_Files_/53.IJAZAH.062835.pdf</v>
      </c>
      <c r="AH45" s="38"/>
      <c r="AI45" s="38" t="str">
        <f>IFERROR(__xludf.DUMMYFUNCTION("""COMPUTED_VALUE"""),"6. RAWAT JALAN")</f>
        <v>6. RAWAT JALAN</v>
      </c>
      <c r="AJ45" s="38"/>
      <c r="AK45" s="38"/>
      <c r="AL45" s="38"/>
      <c r="AM45" s="38"/>
      <c r="AN45" s="38" t="str">
        <f>IFERROR(__xludf.DUMMYFUNCTION("""COMPUTED_VALUE"""),"AKTIF")</f>
        <v>AKTIF</v>
      </c>
    </row>
    <row r="46" ht="12.75" spans="1:40">
      <c r="A46" s="38">
        <f>IFERROR(__xludf.DUMMYFUNCTION("""COMPUTED_VALUE"""),45)</f>
        <v>45</v>
      </c>
      <c r="B46" s="38" t="str">
        <f>IFERROR(__xludf.DUMMYFUNCTION("""COMPUTED_VALUE"""),"Edy Sudiyanto")</f>
        <v>Edy Sudiyanto</v>
      </c>
      <c r="C46" s="38" t="str">
        <f>IFERROR(__xludf.DUMMYFUNCTION("""COMPUTED_VALUE"""),"1@gmail.com")</f>
        <v>1@gmail.com</v>
      </c>
      <c r="D46" s="38" t="str">
        <f>IFERROR(__xludf.DUMMYFUNCTION("""COMPUTED_VALUE"""),"197210102007011050")</f>
        <v>197210102007011050</v>
      </c>
      <c r="E46" s="38" t="str">
        <f>IFERROR(__xludf.DUMMYFUNCTION("""COMPUTED_VALUE"""),"6402021010720003")</f>
        <v>6402021010720003</v>
      </c>
      <c r="F46" s="38" t="str">
        <f>IFERROR(__xludf.DUMMYFUNCTION("""COMPUTED_VALUE"""),"L")</f>
        <v>L</v>
      </c>
      <c r="G46" s="38" t="str">
        <f>IFERROR(__xludf.DUMMYFUNCTION("""COMPUTED_VALUE"""),"Long iram,10 oktober 1972")</f>
        <v>Long iram,10 oktober 1972</v>
      </c>
      <c r="H46" s="40">
        <f>IFERROR(__xludf.DUMMYFUNCTION("""COMPUTED_VALUE"""),26582)</f>
        <v>26582</v>
      </c>
      <c r="I46" s="38">
        <f>IFERROR(__xludf.DUMMYFUNCTION("""COMPUTED_VALUE"""),53)</f>
        <v>53</v>
      </c>
      <c r="J46" s="38" t="str">
        <f>IFERROR(__xludf.DUMMYFUNCTION("""COMPUTED_VALUE"""),"SMA")</f>
        <v>SMA</v>
      </c>
      <c r="K46" s="38"/>
      <c r="L46" s="38" t="str">
        <f>IFERROR(__xludf.DUMMYFUNCTION("""COMPUTED_VALUE"""),"SMA")</f>
        <v>SMA</v>
      </c>
      <c r="M46" s="38" t="str">
        <f>IFERROR(__xludf.DUMMYFUNCTION("""COMPUTED_VALUE"""),"UMUM")</f>
        <v>UMUM</v>
      </c>
      <c r="N46" s="39">
        <f>IFERROR(__xludf.DUMMYFUNCTION("""COMPUTED_VALUE"""),39083)</f>
        <v>39083</v>
      </c>
      <c r="O46" s="39">
        <f>IFERROR(__xludf.DUMMYFUNCTION("""COMPUTED_VALUE"""),46211.4145195486)</f>
        <v>46211.4145195486</v>
      </c>
      <c r="P46" s="38" t="str">
        <f>IFERROR(__xludf.DUMMYFUNCTION("""COMPUTED_VALUE"""),"19 Tahun6 Bulan")</f>
        <v>19 Tahun6 Bulan</v>
      </c>
      <c r="Q46" s="38" t="str">
        <f>IFERROR(__xludf.DUMMYFUNCTION("""COMPUTED_VALUE"""),"Staff Rawat Inap")</f>
        <v>Staff Rawat Inap</v>
      </c>
      <c r="R46" s="38" t="str">
        <f>IFERROR(__xludf.DUMMYFUNCTION("""COMPUTED_VALUE"""),"PNS")</f>
        <v>PNS</v>
      </c>
      <c r="S46" s="38"/>
      <c r="T46" s="39">
        <f>IFERROR(__xludf.DUMMYFUNCTION("""COMPUTED_VALUE"""),36892)</f>
        <v>36892</v>
      </c>
      <c r="U46" s="39">
        <f>IFERROR(__xludf.DUMMYFUNCTION("""COMPUTED_VALUE"""),46211.4145195717)</f>
        <v>46211.4145195717</v>
      </c>
      <c r="V46" s="38" t="str">
        <f>IFERROR(__xludf.DUMMYFUNCTION("""COMPUTED_VALUE"""),"#NUM!")</f>
        <v>#NUM!</v>
      </c>
      <c r="W46" s="38"/>
      <c r="X46" s="39">
        <f>IFERROR(__xludf.DUMMYFUNCTION("""COMPUTED_VALUE"""),36892)</f>
        <v>36892</v>
      </c>
      <c r="Y46" s="39">
        <f>IFERROR(__xludf.DUMMYFUNCTION("""COMPUTED_VALUE"""),46211.4145195833)</f>
        <v>46211.4145195833</v>
      </c>
      <c r="Z46" s="38" t="str">
        <f>IFERROR(__xludf.DUMMYFUNCTION("""COMPUTED_VALUE"""),"#NUM!")</f>
        <v>#NUM!</v>
      </c>
      <c r="AA46" s="38" t="str">
        <f>IFERROR(__xludf.DUMMYFUNCTION("""COMPUTED_VALUE"""),"DATA BASE_Images/54.FOTO.011845.png")</f>
        <v>DATA BASE_Images/54.FOTO.011845.png</v>
      </c>
      <c r="AB46" s="38"/>
      <c r="AC46" s="38"/>
      <c r="AD46" s="38"/>
      <c r="AE46" s="38"/>
      <c r="AF46" s="38"/>
      <c r="AG46" s="38"/>
      <c r="AH46" s="38" t="str">
        <f>IFERROR(__xludf.DUMMYFUNCTION("""COMPUTED_VALUE"""),"5. RAWAT INAP")</f>
        <v>5. RAWAT INAP</v>
      </c>
      <c r="AI46" s="38" t="str">
        <f>IFERROR(__xludf.DUMMYFUNCTION("""COMPUTED_VALUE"""),"5. RAWAT INAP")</f>
        <v>5. RAWAT INAP</v>
      </c>
      <c r="AJ46" s="38"/>
      <c r="AK46" s="38"/>
      <c r="AL46" s="38"/>
      <c r="AM46" s="38"/>
      <c r="AN46" s="38" t="str">
        <f>IFERROR(__xludf.DUMMYFUNCTION("""COMPUTED_VALUE"""),"AKTIF")</f>
        <v>AKTIF</v>
      </c>
    </row>
    <row r="47" ht="12.75" spans="1:40">
      <c r="A47" s="38">
        <f>IFERROR(__xludf.DUMMYFUNCTION("""COMPUTED_VALUE"""),46)</f>
        <v>46</v>
      </c>
      <c r="B47" s="38" t="str">
        <f>IFERROR(__xludf.DUMMYFUNCTION("""COMPUTED_VALUE"""),"Fitriani")</f>
        <v>Fitriani</v>
      </c>
      <c r="C47" s="38" t="str">
        <f>IFERROR(__xludf.DUMMYFUNCTION("""COMPUTED_VALUE"""),"a@gmail.com")</f>
        <v>a@gmail.com</v>
      </c>
      <c r="D47" s="38" t="str">
        <f>IFERROR(__xludf.DUMMYFUNCTION("""COMPUTED_VALUE"""),"197710122007012015")</f>
        <v>197710122007012015</v>
      </c>
      <c r="E47" s="38">
        <f>IFERROR(__xludf.DUMMYFUNCTION("""COMPUTED_VALUE"""),0)</f>
        <v>0</v>
      </c>
      <c r="F47" s="38" t="str">
        <f>IFERROR(__xludf.DUMMYFUNCTION("""COMPUTED_VALUE"""),"P")</f>
        <v>P</v>
      </c>
      <c r="G47" s="38" t="str">
        <f>IFERROR(__xludf.DUMMYFUNCTION("""COMPUTED_VALUE"""),"Samarinda, 12 Oktober 1977")</f>
        <v>Samarinda, 12 Oktober 1977</v>
      </c>
      <c r="H47" s="40">
        <f>IFERROR(__xludf.DUMMYFUNCTION("""COMPUTED_VALUE"""),28410)</f>
        <v>28410</v>
      </c>
      <c r="I47" s="38">
        <f>IFERROR(__xludf.DUMMYFUNCTION("""COMPUTED_VALUE"""),48)</f>
        <v>48</v>
      </c>
      <c r="J47" s="38" t="str">
        <f>IFERROR(__xludf.DUMMYFUNCTION("""COMPUTED_VALUE"""),"SMA")</f>
        <v>SMA</v>
      </c>
      <c r="K47" s="38"/>
      <c r="L47" s="38" t="str">
        <f>IFERROR(__xludf.DUMMYFUNCTION("""COMPUTED_VALUE"""),"SMEA MUHAMMADIYAH SAMARINDA")</f>
        <v>SMEA MUHAMMADIYAH SAMARINDA</v>
      </c>
      <c r="M47" s="38" t="str">
        <f>IFERROR(__xludf.DUMMYFUNCTION("""COMPUTED_VALUE"""),"UMUM")</f>
        <v>UMUM</v>
      </c>
      <c r="N47" s="39">
        <f>IFERROR(__xludf.DUMMYFUNCTION("""COMPUTED_VALUE"""),39083)</f>
        <v>39083</v>
      </c>
      <c r="O47" s="39">
        <f>IFERROR(__xludf.DUMMYFUNCTION("""COMPUTED_VALUE"""),46211.4145195486)</f>
        <v>46211.4145195486</v>
      </c>
      <c r="P47" s="38" t="str">
        <f>IFERROR(__xludf.DUMMYFUNCTION("""COMPUTED_VALUE"""),"19 Tahun6 Bulan")</f>
        <v>19 Tahun6 Bulan</v>
      </c>
      <c r="Q47" s="38" t="str">
        <f>IFERROR(__xludf.DUMMYFUNCTION("""COMPUTED_VALUE"""),"Staff Gudang")</f>
        <v>Staff Gudang</v>
      </c>
      <c r="R47" s="38" t="str">
        <f>IFERROR(__xludf.DUMMYFUNCTION("""COMPUTED_VALUE"""),"PNS")</f>
        <v>PNS</v>
      </c>
      <c r="S47" s="38"/>
      <c r="T47" s="39">
        <f>IFERROR(__xludf.DUMMYFUNCTION("""COMPUTED_VALUE"""),36892)</f>
        <v>36892</v>
      </c>
      <c r="U47" s="39">
        <f>IFERROR(__xludf.DUMMYFUNCTION("""COMPUTED_VALUE"""),46211.4145195717)</f>
        <v>46211.4145195717</v>
      </c>
      <c r="V47" s="38" t="str">
        <f>IFERROR(__xludf.DUMMYFUNCTION("""COMPUTED_VALUE"""),"#NUM!")</f>
        <v>#NUM!</v>
      </c>
      <c r="W47" s="38"/>
      <c r="X47" s="39">
        <f>IFERROR(__xludf.DUMMYFUNCTION("""COMPUTED_VALUE"""),36892)</f>
        <v>36892</v>
      </c>
      <c r="Y47" s="39">
        <f>IFERROR(__xludf.DUMMYFUNCTION("""COMPUTED_VALUE"""),46211.4145195833)</f>
        <v>46211.4145195833</v>
      </c>
      <c r="Z47" s="38" t="str">
        <f>IFERROR(__xludf.DUMMYFUNCTION("""COMPUTED_VALUE"""),"#NUM!")</f>
        <v>#NUM!</v>
      </c>
      <c r="AA47" s="38" t="str">
        <f>IFERROR(__xludf.DUMMYFUNCTION("""COMPUTED_VALUE"""),"DATA BASE_Images/55.FOTO.031127.jpg")</f>
        <v>DATA BASE_Images/55.FOTO.031127.jpg</v>
      </c>
      <c r="AB47" s="38"/>
      <c r="AC47" s="38"/>
      <c r="AD47" s="38"/>
      <c r="AE47" s="38"/>
      <c r="AF47" s="38"/>
      <c r="AG47" s="38" t="str">
        <f>IFERROR(__xludf.DUMMYFUNCTION("""COMPUTED_VALUE"""),"DATA BASE_Files_/55.IJAZAH.035829.pdf")</f>
        <v>DATA BASE_Files_/55.IJAZAH.035829.pdf</v>
      </c>
      <c r="AH47" s="38" t="str">
        <f>IFERROR(__xludf.DUMMYFUNCTION("""COMPUTED_VALUE"""),"DATA BASE_Files_/55.SK AWAL.035829.pdf")</f>
        <v>DATA BASE_Files_/55.SK AWAL.035829.pdf</v>
      </c>
      <c r="AI47" s="38" t="str">
        <f>IFERROR(__xludf.DUMMYFUNCTION("""COMPUTED_VALUE"""),"8. GUDANG FARMASI")</f>
        <v>8. GUDANG FARMASI</v>
      </c>
      <c r="AJ47" s="38"/>
      <c r="AK47" s="38"/>
      <c r="AL47" s="38"/>
      <c r="AM47" s="38"/>
      <c r="AN47" s="38" t="str">
        <f>IFERROR(__xludf.DUMMYFUNCTION("""COMPUTED_VALUE"""),"AKTIF")</f>
        <v>AKTIF</v>
      </c>
    </row>
    <row r="48" ht="12.75" spans="1:40">
      <c r="A48" s="38">
        <f>IFERROR(__xludf.DUMMYFUNCTION("""COMPUTED_VALUE"""),47)</f>
        <v>47</v>
      </c>
      <c r="B48" s="38" t="str">
        <f>IFERROR(__xludf.DUMMYFUNCTION("""COMPUTED_VALUE"""),"Jakpar")</f>
        <v>Jakpar</v>
      </c>
      <c r="C48" s="38" t="str">
        <f>IFERROR(__xludf.DUMMYFUNCTION("""COMPUTED_VALUE"""),"e@.gmail.com")</f>
        <v>e@.gmail.com</v>
      </c>
      <c r="D48" s="38" t="str">
        <f>IFERROR(__xludf.DUMMYFUNCTION("""COMPUTED_VALUE"""),"197311172025211005")</f>
        <v>197311172025211005</v>
      </c>
      <c r="E48" s="38" t="str">
        <f>IFERROR(__xludf.DUMMYFUNCTION("""COMPUTED_VALUE"""),"6402061711730001")</f>
        <v>6402061711730001</v>
      </c>
      <c r="F48" s="38" t="str">
        <f>IFERROR(__xludf.DUMMYFUNCTION("""COMPUTED_VALUE"""),"L")</f>
        <v>L</v>
      </c>
      <c r="G48" s="38" t="str">
        <f>IFERROR(__xludf.DUMMYFUNCTION("""COMPUTED_VALUE"""),"Barabai,17 Nopember 1973")</f>
        <v>Barabai,17 Nopember 1973</v>
      </c>
      <c r="H48" s="40">
        <f>IFERROR(__xludf.DUMMYFUNCTION("""COMPUTED_VALUE"""),26985)</f>
        <v>26985</v>
      </c>
      <c r="I48" s="38">
        <f>IFERROR(__xludf.DUMMYFUNCTION("""COMPUTED_VALUE"""),52)</f>
        <v>52</v>
      </c>
      <c r="J48" s="38" t="str">
        <f>IFERROR(__xludf.DUMMYFUNCTION("""COMPUTED_VALUE"""),"SMP")</f>
        <v>SMP</v>
      </c>
      <c r="K48" s="38"/>
      <c r="L48" s="38" t="str">
        <f>IFERROR(__xludf.DUMMYFUNCTION("""COMPUTED_VALUE"""),"SMP 2 TENGGARONG")</f>
        <v>SMP 2 TENGGARONG</v>
      </c>
      <c r="M48" s="38" t="str">
        <f>IFERROR(__xludf.DUMMYFUNCTION("""COMPUTED_VALUE"""),"UMUM")</f>
        <v>UMUM</v>
      </c>
      <c r="N48" s="39">
        <f>IFERROR(__xludf.DUMMYFUNCTION("""COMPUTED_VALUE"""),38869)</f>
        <v>38869</v>
      </c>
      <c r="O48" s="39">
        <f>IFERROR(__xludf.DUMMYFUNCTION("""COMPUTED_VALUE"""),46211.4145195486)</f>
        <v>46211.4145195486</v>
      </c>
      <c r="P48" s="38" t="str">
        <f>IFERROR(__xludf.DUMMYFUNCTION("""COMPUTED_VALUE"""),"20 Tahun1 Bulan")</f>
        <v>20 Tahun1 Bulan</v>
      </c>
      <c r="Q48" s="38" t="str">
        <f>IFERROR(__xludf.DUMMYFUNCTION("""COMPUTED_VALUE"""),"Staff Rawat Inap")</f>
        <v>Staff Rawat Inap</v>
      </c>
      <c r="R48" s="38" t="str">
        <f>IFERROR(__xludf.DUMMYFUNCTION("""COMPUTED_VALUE"""),"PPPK")</f>
        <v>PPPK</v>
      </c>
      <c r="S48" s="38"/>
      <c r="T48" s="39">
        <f>IFERROR(__xludf.DUMMYFUNCTION("""COMPUTED_VALUE"""),36892)</f>
        <v>36892</v>
      </c>
      <c r="U48" s="39">
        <f>IFERROR(__xludf.DUMMYFUNCTION("""COMPUTED_VALUE"""),46211.4145195717)</f>
        <v>46211.4145195717</v>
      </c>
      <c r="V48" s="38" t="str">
        <f>IFERROR(__xludf.DUMMYFUNCTION("""COMPUTED_VALUE"""),"#NUM!")</f>
        <v>#NUM!</v>
      </c>
      <c r="W48" s="38"/>
      <c r="X48" s="39">
        <f>IFERROR(__xludf.DUMMYFUNCTION("""COMPUTED_VALUE"""),36892)</f>
        <v>36892</v>
      </c>
      <c r="Y48" s="39">
        <f>IFERROR(__xludf.DUMMYFUNCTION("""COMPUTED_VALUE"""),46211.4145195833)</f>
        <v>46211.4145195833</v>
      </c>
      <c r="Z48" s="38" t="str">
        <f>IFERROR(__xludf.DUMMYFUNCTION("""COMPUTED_VALUE"""),"#NUM!")</f>
        <v>#NUM!</v>
      </c>
      <c r="AA48" s="38" t="str">
        <f>IFERROR(__xludf.DUMMYFUNCTION("""COMPUTED_VALUE"""),"DATA BASE_Images/57.FOTO.031953.jpg")</f>
        <v>DATA BASE_Images/57.FOTO.031953.jpg</v>
      </c>
      <c r="AB48" s="38"/>
      <c r="AC48" s="38"/>
      <c r="AD48" s="38"/>
      <c r="AE48" s="38"/>
      <c r="AF48" s="38"/>
      <c r="AG48" s="38" t="str">
        <f>IFERROR(__xludf.DUMMYFUNCTION("""COMPUTED_VALUE"""),"DATA BASE_Files_/57.IJAZAH.053114.pdf")</f>
        <v>DATA BASE_Files_/57.IJAZAH.053114.pdf</v>
      </c>
      <c r="AH48" s="38" t="str">
        <f>IFERROR(__xludf.DUMMYFUNCTION("""COMPUTED_VALUE"""),"DATA BASE_Files_/57.SK AWAL.011512.pdf")</f>
        <v>DATA BASE_Files_/57.SK AWAL.011512.pdf</v>
      </c>
      <c r="AI48" s="38" t="str">
        <f>IFERROR(__xludf.DUMMYFUNCTION("""COMPUTED_VALUE"""),"5. RAWAT INAP")</f>
        <v>5. RAWAT INAP</v>
      </c>
      <c r="AJ48" s="38"/>
      <c r="AK48" s="38"/>
      <c r="AL48" s="38"/>
      <c r="AM48" s="38"/>
      <c r="AN48" s="38" t="str">
        <f>IFERROR(__xludf.DUMMYFUNCTION("""COMPUTED_VALUE"""),"AKTIF")</f>
        <v>AKTIF</v>
      </c>
    </row>
    <row r="49" ht="12.75" spans="1:40">
      <c r="A49" s="38">
        <f>IFERROR(__xludf.DUMMYFUNCTION("""COMPUTED_VALUE"""),48)</f>
        <v>48</v>
      </c>
      <c r="B49" s="38" t="str">
        <f>IFERROR(__xludf.DUMMYFUNCTION("""COMPUTED_VALUE"""),"Mayang Azhari")</f>
        <v>Mayang Azhari</v>
      </c>
      <c r="C49" s="38" t="str">
        <f>IFERROR(__xludf.DUMMYFUNCTION("""COMPUTED_VALUE"""),"a@gmail.com")</f>
        <v>a@gmail.com</v>
      </c>
      <c r="D49" s="38" t="str">
        <f>IFERROR(__xludf.DUMMYFUNCTION("""COMPUTED_VALUE"""),"B199910072020012001")</f>
        <v>B199910072020012001</v>
      </c>
      <c r="E49" s="38">
        <f>IFERROR(__xludf.DUMMYFUNCTION("""COMPUTED_VALUE"""),0)</f>
        <v>0</v>
      </c>
      <c r="F49" s="38" t="str">
        <f>IFERROR(__xludf.DUMMYFUNCTION("""COMPUTED_VALUE"""),"P")</f>
        <v>P</v>
      </c>
      <c r="G49" s="38" t="str">
        <f>IFERROR(__xludf.DUMMYFUNCTION("""COMPUTED_VALUE"""),"Tenggarong,7 Oktober 1999")</f>
        <v>Tenggarong,7 Oktober 1999</v>
      </c>
      <c r="H49" s="39">
        <f>IFERROR(__xludf.DUMMYFUNCTION("""COMPUTED_VALUE"""),36440)</f>
        <v>36440</v>
      </c>
      <c r="I49" s="38">
        <f>IFERROR(__xludf.DUMMYFUNCTION("""COMPUTED_VALUE"""),26)</f>
        <v>26</v>
      </c>
      <c r="J49" s="38" t="str">
        <f>IFERROR(__xludf.DUMMYFUNCTION("""COMPUTED_VALUE"""),"SMA")</f>
        <v>SMA</v>
      </c>
      <c r="K49" s="38"/>
      <c r="L49" s="38"/>
      <c r="M49" s="38" t="str">
        <f>IFERROR(__xludf.DUMMYFUNCTION("""COMPUTED_VALUE"""),"UMUM")</f>
        <v>UMUM</v>
      </c>
      <c r="N49" s="39">
        <f>IFERROR(__xludf.DUMMYFUNCTION("""COMPUTED_VALUE"""),43831)</f>
        <v>43831</v>
      </c>
      <c r="O49" s="39">
        <f>IFERROR(__xludf.DUMMYFUNCTION("""COMPUTED_VALUE"""),46211.4145195486)</f>
        <v>46211.4145195486</v>
      </c>
      <c r="P49" s="38" t="str">
        <f>IFERROR(__xludf.DUMMYFUNCTION("""COMPUTED_VALUE"""),"6 Tahun6 Bulan")</f>
        <v>6 Tahun6 Bulan</v>
      </c>
      <c r="Q49" s="38" t="str">
        <f>IFERROR(__xludf.DUMMYFUNCTION("""COMPUTED_VALUE"""),"Staff Rawat jalan")</f>
        <v>Staff Rawat jalan</v>
      </c>
      <c r="R49" s="38" t="str">
        <f>IFERROR(__xludf.DUMMYFUNCTION("""COMPUTED_VALUE"""),"BLUD")</f>
        <v>BLUD</v>
      </c>
      <c r="S49" s="38"/>
      <c r="T49" s="39">
        <f>IFERROR(__xludf.DUMMYFUNCTION("""COMPUTED_VALUE"""),36892)</f>
        <v>36892</v>
      </c>
      <c r="U49" s="39">
        <f>IFERROR(__xludf.DUMMYFUNCTION("""COMPUTED_VALUE"""),46211.4145195717)</f>
        <v>46211.4145195717</v>
      </c>
      <c r="V49" s="38" t="str">
        <f>IFERROR(__xludf.DUMMYFUNCTION("""COMPUTED_VALUE"""),"#NUM!")</f>
        <v>#NUM!</v>
      </c>
      <c r="W49" s="38"/>
      <c r="X49" s="39">
        <f>IFERROR(__xludf.DUMMYFUNCTION("""COMPUTED_VALUE"""),36892)</f>
        <v>36892</v>
      </c>
      <c r="Y49" s="39">
        <f>IFERROR(__xludf.DUMMYFUNCTION("""COMPUTED_VALUE"""),46211.4145195833)</f>
        <v>46211.4145195833</v>
      </c>
      <c r="Z49" s="38" t="str">
        <f>IFERROR(__xludf.DUMMYFUNCTION("""COMPUTED_VALUE"""),"#NUM!")</f>
        <v>#NUM!</v>
      </c>
      <c r="AA49" s="38" t="str">
        <f>IFERROR(__xludf.DUMMYFUNCTION("""COMPUTED_VALUE"""),"DATA BASE_Images/58.FOTO.030745.jpg")</f>
        <v>DATA BASE_Images/58.FOTO.030745.jpg</v>
      </c>
      <c r="AB49" s="38"/>
      <c r="AC49" s="38"/>
      <c r="AD49" s="38"/>
      <c r="AE49" s="38"/>
      <c r="AF49" s="38"/>
      <c r="AG49" s="38" t="str">
        <f>IFERROR(__xludf.DUMMYFUNCTION("""COMPUTED_VALUE"""),"DATA BASE_Files_/58.IJAZAH.013102.29.pdf")</f>
        <v>DATA BASE_Files_/58.IJAZAH.013102.29.pdf</v>
      </c>
      <c r="AH49" s="38"/>
      <c r="AI49" s="38" t="str">
        <f>IFERROR(__xludf.DUMMYFUNCTION("""COMPUTED_VALUE"""),"6. RAWAT JALAN")</f>
        <v>6. RAWAT JALAN</v>
      </c>
      <c r="AJ49" s="38"/>
      <c r="AK49" s="38"/>
      <c r="AL49" s="38"/>
      <c r="AM49" s="38"/>
      <c r="AN49" s="38" t="str">
        <f>IFERROR(__xludf.DUMMYFUNCTION("""COMPUTED_VALUE"""),"AKTIF")</f>
        <v>AKTIF</v>
      </c>
    </row>
    <row r="50" ht="12.75" spans="1:40">
      <c r="A50" s="38">
        <f>IFERROR(__xludf.DUMMYFUNCTION("""COMPUTED_VALUE"""),49)</f>
        <v>49</v>
      </c>
      <c r="B50" s="38" t="str">
        <f>IFERROR(__xludf.DUMMYFUNCTION("""COMPUTED_VALUE"""),"Muhammad Junaidi")</f>
        <v>Muhammad Junaidi</v>
      </c>
      <c r="C50" s="38" t="str">
        <f>IFERROR(__xludf.DUMMYFUNCTION("""COMPUTED_VALUE"""),"a@gmail.com")</f>
        <v>a@gmail.com</v>
      </c>
      <c r="D50" s="38" t="str">
        <f>IFERROR(__xludf.DUMMYFUNCTION("""COMPUTED_VALUE"""),"198107182025211016")</f>
        <v>198107182025211016</v>
      </c>
      <c r="E50" s="38" t="str">
        <f>IFERROR(__xludf.DUMMYFUNCTION("""COMPUTED_VALUE"""),"6402061807810001")</f>
        <v>6402061807810001</v>
      </c>
      <c r="F50" s="38" t="str">
        <f>IFERROR(__xludf.DUMMYFUNCTION("""COMPUTED_VALUE"""),"L")</f>
        <v>L</v>
      </c>
      <c r="G50" s="38" t="str">
        <f>IFERROR(__xludf.DUMMYFUNCTION("""COMPUTED_VALUE"""),"Tenggarong,18 Juli 1981")</f>
        <v>Tenggarong,18 Juli 1981</v>
      </c>
      <c r="H50" s="39">
        <f>IFERROR(__xludf.DUMMYFUNCTION("""COMPUTED_VALUE"""),29785)</f>
        <v>29785</v>
      </c>
      <c r="I50" s="38">
        <f>IFERROR(__xludf.DUMMYFUNCTION("""COMPUTED_VALUE"""),45)</f>
        <v>45</v>
      </c>
      <c r="J50" s="38" t="str">
        <f>IFERROR(__xludf.DUMMYFUNCTION("""COMPUTED_VALUE"""),"SMA")</f>
        <v>SMA</v>
      </c>
      <c r="K50" s="38"/>
      <c r="L50" s="38"/>
      <c r="M50" s="38" t="str">
        <f>IFERROR(__xludf.DUMMYFUNCTION("""COMPUTED_VALUE"""),"UMUM")</f>
        <v>UMUM</v>
      </c>
      <c r="N50" s="39">
        <f>IFERROR(__xludf.DUMMYFUNCTION("""COMPUTED_VALUE"""),38534)</f>
        <v>38534</v>
      </c>
      <c r="O50" s="39">
        <f>IFERROR(__xludf.DUMMYFUNCTION("""COMPUTED_VALUE"""),46211.4145195486)</f>
        <v>46211.4145195486</v>
      </c>
      <c r="P50" s="38" t="str">
        <f>IFERROR(__xludf.DUMMYFUNCTION("""COMPUTED_VALUE"""),"21 Tahun0 Bulan")</f>
        <v>21 Tahun0 Bulan</v>
      </c>
      <c r="Q50" s="38" t="str">
        <f>IFERROR(__xludf.DUMMYFUNCTION("""COMPUTED_VALUE"""),"Staff Rawat Inap")</f>
        <v>Staff Rawat Inap</v>
      </c>
      <c r="R50" s="38" t="str">
        <f>IFERROR(__xludf.DUMMYFUNCTION("""COMPUTED_VALUE"""),"PPPK")</f>
        <v>PPPK</v>
      </c>
      <c r="S50" s="38"/>
      <c r="T50" s="39">
        <f>IFERROR(__xludf.DUMMYFUNCTION("""COMPUTED_VALUE"""),36892)</f>
        <v>36892</v>
      </c>
      <c r="U50" s="39">
        <f>IFERROR(__xludf.DUMMYFUNCTION("""COMPUTED_VALUE"""),46211.4145195717)</f>
        <v>46211.4145195717</v>
      </c>
      <c r="V50" s="38" t="str">
        <f>IFERROR(__xludf.DUMMYFUNCTION("""COMPUTED_VALUE"""),"#NUM!")</f>
        <v>#NUM!</v>
      </c>
      <c r="W50" s="38"/>
      <c r="X50" s="39">
        <f>IFERROR(__xludf.DUMMYFUNCTION("""COMPUTED_VALUE"""),36892)</f>
        <v>36892</v>
      </c>
      <c r="Y50" s="39">
        <f>IFERROR(__xludf.DUMMYFUNCTION("""COMPUTED_VALUE"""),46211.4145195833)</f>
        <v>46211.4145195833</v>
      </c>
      <c r="Z50" s="38" t="str">
        <f>IFERROR(__xludf.DUMMYFUNCTION("""COMPUTED_VALUE"""),"#NUM!")</f>
        <v>#NUM!</v>
      </c>
      <c r="AA50" s="38" t="str">
        <f>IFERROR(__xludf.DUMMYFUNCTION("""COMPUTED_VALUE"""),"DATA BASE_Images/59.FOTO.012008.png")</f>
        <v>DATA BASE_Images/59.FOTO.012008.png</v>
      </c>
      <c r="AB50" s="38"/>
      <c r="AC50" s="38"/>
      <c r="AD50" s="38"/>
      <c r="AE50" s="38"/>
      <c r="AF50" s="38"/>
      <c r="AG50" s="38" t="str">
        <f>IFERROR(__xludf.DUMMYFUNCTION("""COMPUTED_VALUE"""),"DATA BASE_Files_/59.IJAZAH.011544.pdf")</f>
        <v>DATA BASE_Files_/59.IJAZAH.011544.pdf</v>
      </c>
      <c r="AH50" s="38" t="str">
        <f>IFERROR(__xludf.DUMMYFUNCTION("""COMPUTED_VALUE"""),"DATA BASE_Files_/59.SK AWAL.011544.pdf")</f>
        <v>DATA BASE_Files_/59.SK AWAL.011544.pdf</v>
      </c>
      <c r="AI50" s="38" t="str">
        <f>IFERROR(__xludf.DUMMYFUNCTION("""COMPUTED_VALUE"""),"6. RAWAT JALAN")</f>
        <v>6. RAWAT JALAN</v>
      </c>
      <c r="AJ50" s="38"/>
      <c r="AK50" s="38"/>
      <c r="AL50" s="38"/>
      <c r="AM50" s="38"/>
      <c r="AN50" s="38" t="str">
        <f>IFERROR(__xludf.DUMMYFUNCTION("""COMPUTED_VALUE"""),"AKTIF")</f>
        <v>AKTIF</v>
      </c>
    </row>
    <row r="51" ht="12.75" spans="1:40">
      <c r="A51" s="38">
        <f>IFERROR(__xludf.DUMMYFUNCTION("""COMPUTED_VALUE"""),50)</f>
        <v>50</v>
      </c>
      <c r="B51" s="38" t="str">
        <f>IFERROR(__xludf.DUMMYFUNCTION("""COMPUTED_VALUE"""),"Sugeng Sirojuddin")</f>
        <v>Sugeng Sirojuddin</v>
      </c>
      <c r="C51" s="38" t="str">
        <f>IFERROR(__xludf.DUMMYFUNCTION("""COMPUTED_VALUE"""),"sirojuddins0885@gmail.com")</f>
        <v>sirojuddins0885@gmail.com</v>
      </c>
      <c r="D51" s="38" t="str">
        <f>IFERROR(__xludf.DUMMYFUNCTION("""COMPUTED_VALUE"""),"198508182025211029")</f>
        <v>198508182025211029</v>
      </c>
      <c r="E51" s="38" t="str">
        <f>IFERROR(__xludf.DUMMYFUNCTION("""COMPUTED_VALUE"""),"6402061808850002")</f>
        <v>6402061808850002</v>
      </c>
      <c r="F51" s="38" t="str">
        <f>IFERROR(__xludf.DUMMYFUNCTION("""COMPUTED_VALUE"""),"L")</f>
        <v>L</v>
      </c>
      <c r="G51" s="38" t="str">
        <f>IFERROR(__xludf.DUMMYFUNCTION("""COMPUTED_VALUE"""),"Mojokerto,18 Agustus 1985")</f>
        <v>Mojokerto,18 Agustus 1985</v>
      </c>
      <c r="H51" s="39">
        <f>IFERROR(__xludf.DUMMYFUNCTION("""COMPUTED_VALUE"""),31277)</f>
        <v>31277</v>
      </c>
      <c r="I51" s="38">
        <f>IFERROR(__xludf.DUMMYFUNCTION("""COMPUTED_VALUE"""),40)</f>
        <v>40</v>
      </c>
      <c r="J51" s="38" t="str">
        <f>IFERROR(__xludf.DUMMYFUNCTION("""COMPUTED_VALUE"""),"SMA")</f>
        <v>SMA</v>
      </c>
      <c r="K51" s="38" t="str">
        <f>IFERROR(__xludf.DUMMYFUNCTION("""COMPUTED_VALUE"""),"JL.LONG BAGUN RT 11 KEL.MALUHU")</f>
        <v>JL.LONG BAGUN RT 11 KEL.MALUHU</v>
      </c>
      <c r="L51" s="38" t="str">
        <f>IFERROR(__xludf.DUMMYFUNCTION("""COMPUTED_VALUE"""),"SMA N 1 KOTA MOJOKERTO")</f>
        <v>SMA N 1 KOTA MOJOKERTO</v>
      </c>
      <c r="M51" s="38" t="str">
        <f>IFERROR(__xludf.DUMMYFUNCTION("""COMPUTED_VALUE"""),"UMUM")</f>
        <v>UMUM</v>
      </c>
      <c r="N51" s="39">
        <f>IFERROR(__xludf.DUMMYFUNCTION("""COMPUTED_VALUE"""),41944)</f>
        <v>41944</v>
      </c>
      <c r="O51" s="39">
        <f>IFERROR(__xludf.DUMMYFUNCTION("""COMPUTED_VALUE"""),46211.4145195486)</f>
        <v>46211.4145195486</v>
      </c>
      <c r="P51" s="38" t="str">
        <f>IFERROR(__xludf.DUMMYFUNCTION("""COMPUTED_VALUE"""),"11 Tahun8 Bulan")</f>
        <v>11 Tahun8 Bulan</v>
      </c>
      <c r="Q51" s="38" t="str">
        <f>IFERROR(__xludf.DUMMYFUNCTION("""COMPUTED_VALUE"""),"Staff Admin")</f>
        <v>Staff Admin</v>
      </c>
      <c r="R51" s="38" t="str">
        <f>IFERROR(__xludf.DUMMYFUNCTION("""COMPUTED_VALUE"""),"PPPK")</f>
        <v>PPPK</v>
      </c>
      <c r="S51" s="38"/>
      <c r="T51" s="39">
        <f>IFERROR(__xludf.DUMMYFUNCTION("""COMPUTED_VALUE"""),36892)</f>
        <v>36892</v>
      </c>
      <c r="U51" s="39">
        <f>IFERROR(__xludf.DUMMYFUNCTION("""COMPUTED_VALUE"""),46211.4145195717)</f>
        <v>46211.4145195717</v>
      </c>
      <c r="V51" s="38" t="str">
        <f>IFERROR(__xludf.DUMMYFUNCTION("""COMPUTED_VALUE"""),"#NUM!")</f>
        <v>#NUM!</v>
      </c>
      <c r="W51" s="38"/>
      <c r="X51" s="39">
        <f>IFERROR(__xludf.DUMMYFUNCTION("""COMPUTED_VALUE"""),36892)</f>
        <v>36892</v>
      </c>
      <c r="Y51" s="39">
        <f>IFERROR(__xludf.DUMMYFUNCTION("""COMPUTED_VALUE"""),46211.4145195833)</f>
        <v>46211.4145195833</v>
      </c>
      <c r="Z51" s="38" t="str">
        <f>IFERROR(__xludf.DUMMYFUNCTION("""COMPUTED_VALUE"""),"#NUM!")</f>
        <v>#NUM!</v>
      </c>
      <c r="AA51" s="38" t="str">
        <f>IFERROR(__xludf.DUMMYFUNCTION("""COMPUTED_VALUE"""),"DATA BASE_Images/60.FOTO.033123.png")</f>
        <v>DATA BASE_Images/60.FOTO.033123.png</v>
      </c>
      <c r="AB51" s="38"/>
      <c r="AC51" s="38"/>
      <c r="AD51" s="38"/>
      <c r="AE51" s="38"/>
      <c r="AF51" s="38"/>
      <c r="AG51" s="38" t="str">
        <f>IFERROR(__xludf.DUMMYFUNCTION("""COMPUTED_VALUE"""),"DATA BASE_Files_/60.IJAZAH.050405.pdf")</f>
        <v>DATA BASE_Files_/60.IJAZAH.050405.pdf</v>
      </c>
      <c r="AH51" s="38" t="str">
        <f>IFERROR(__xludf.DUMMYFUNCTION("""COMPUTED_VALUE"""),"DATA BASE_Files_/60.SK AWAL.033436.pdf")</f>
        <v>DATA BASE_Files_/60.SK AWAL.033436.pdf</v>
      </c>
      <c r="AI51" s="38" t="str">
        <f>IFERROR(__xludf.DUMMYFUNCTION("""COMPUTED_VALUE"""),"2. ADMINISTRASI")</f>
        <v>2. ADMINISTRASI</v>
      </c>
      <c r="AJ51" s="38"/>
      <c r="AK51" s="38"/>
      <c r="AL51" s="38"/>
      <c r="AM51" s="38"/>
      <c r="AN51" s="38" t="str">
        <f>IFERROR(__xludf.DUMMYFUNCTION("""COMPUTED_VALUE"""),"AKTIF")</f>
        <v>AKTIF</v>
      </c>
    </row>
    <row r="52" ht="12.75" spans="1:40">
      <c r="A52" s="38">
        <f>IFERROR(__xludf.DUMMYFUNCTION("""COMPUTED_VALUE"""),51)</f>
        <v>51</v>
      </c>
      <c r="B52" s="38" t="str">
        <f>IFERROR(__xludf.DUMMYFUNCTION("""COMPUTED_VALUE"""),"Tini")</f>
        <v>Tini</v>
      </c>
      <c r="C52" s="38" t="str">
        <f>IFERROR(__xludf.DUMMYFUNCTION("""COMPUTED_VALUE"""),"a@gmail.com")</f>
        <v>a@gmail.com</v>
      </c>
      <c r="D52" s="38" t="str">
        <f>IFERROR(__xludf.DUMMYFUNCTION("""COMPUTED_VALUE"""),"199205102025212032")</f>
        <v>199205102025212032</v>
      </c>
      <c r="E52" s="38" t="str">
        <f>IFERROR(__xludf.DUMMYFUNCTION("""COMPUTED_VALUE"""),"6402165005920003")</f>
        <v>6402165005920003</v>
      </c>
      <c r="F52" s="38" t="str">
        <f>IFERROR(__xludf.DUMMYFUNCTION("""COMPUTED_VALUE"""),"P")</f>
        <v>P</v>
      </c>
      <c r="G52" s="38" t="str">
        <f>IFERROR(__xludf.DUMMYFUNCTION("""COMPUTED_VALUE"""),"Loa Raya, 10 Mei 1992")</f>
        <v>Loa Raya, 10 Mei 1992</v>
      </c>
      <c r="H52" s="39">
        <f>IFERROR(__xludf.DUMMYFUNCTION("""COMPUTED_VALUE"""),33734)</f>
        <v>33734</v>
      </c>
      <c r="I52" s="38">
        <f>IFERROR(__xludf.DUMMYFUNCTION("""COMPUTED_VALUE"""),34)</f>
        <v>34</v>
      </c>
      <c r="J52" s="38" t="str">
        <f>IFERROR(__xludf.DUMMYFUNCTION("""COMPUTED_VALUE"""),"SMA")</f>
        <v>SMA</v>
      </c>
      <c r="K52" s="38"/>
      <c r="L52" s="38" t="str">
        <f>IFERROR(__xludf.DUMMYFUNCTION("""COMPUTED_VALUE"""),"SMK FARMASI TENGGARONG")</f>
        <v>SMK FARMASI TENGGARONG</v>
      </c>
      <c r="M52" s="38" t="str">
        <f>IFERROR(__xludf.DUMMYFUNCTION("""COMPUTED_VALUE"""),"UMUM")</f>
        <v>UMUM</v>
      </c>
      <c r="N52" s="39">
        <f>IFERROR(__xludf.DUMMYFUNCTION("""COMPUTED_VALUE"""),41306)</f>
        <v>41306</v>
      </c>
      <c r="O52" s="39">
        <f>IFERROR(__xludf.DUMMYFUNCTION("""COMPUTED_VALUE"""),46211.4145195486)</f>
        <v>46211.4145195486</v>
      </c>
      <c r="P52" s="38" t="str">
        <f>IFERROR(__xludf.DUMMYFUNCTION("""COMPUTED_VALUE"""),"13 Tahun5 Bulan")</f>
        <v>13 Tahun5 Bulan</v>
      </c>
      <c r="Q52" s="38" t="str">
        <f>IFERROR(__xludf.DUMMYFUNCTION("""COMPUTED_VALUE"""),"Staff Rawat jalan")</f>
        <v>Staff Rawat jalan</v>
      </c>
      <c r="R52" s="38" t="str">
        <f>IFERROR(__xludf.DUMMYFUNCTION("""COMPUTED_VALUE"""),"PPPK")</f>
        <v>PPPK</v>
      </c>
      <c r="S52" s="38"/>
      <c r="T52" s="39">
        <f>IFERROR(__xludf.DUMMYFUNCTION("""COMPUTED_VALUE"""),36892)</f>
        <v>36892</v>
      </c>
      <c r="U52" s="39">
        <f>IFERROR(__xludf.DUMMYFUNCTION("""COMPUTED_VALUE"""),46211.4145195717)</f>
        <v>46211.4145195717</v>
      </c>
      <c r="V52" s="38" t="str">
        <f>IFERROR(__xludf.DUMMYFUNCTION("""COMPUTED_VALUE"""),"#NUM!")</f>
        <v>#NUM!</v>
      </c>
      <c r="W52" s="38"/>
      <c r="X52" s="39">
        <f>IFERROR(__xludf.DUMMYFUNCTION("""COMPUTED_VALUE"""),36892)</f>
        <v>36892</v>
      </c>
      <c r="Y52" s="39">
        <f>IFERROR(__xludf.DUMMYFUNCTION("""COMPUTED_VALUE"""),46211.4145195833)</f>
        <v>46211.4145195833</v>
      </c>
      <c r="Z52" s="38" t="str">
        <f>IFERROR(__xludf.DUMMYFUNCTION("""COMPUTED_VALUE"""),"#NUM!")</f>
        <v>#NUM!</v>
      </c>
      <c r="AA52" s="38" t="str">
        <f>IFERROR(__xludf.DUMMYFUNCTION("""COMPUTED_VALUE"""),"DATA BASE_Images/61.FOTO.032105.jpg")</f>
        <v>DATA BASE_Images/61.FOTO.032105.jpg</v>
      </c>
      <c r="AB52" s="38"/>
      <c r="AC52" s="38"/>
      <c r="AD52" s="38"/>
      <c r="AE52" s="38"/>
      <c r="AF52" s="38"/>
      <c r="AG52" s="38" t="str">
        <f>IFERROR(__xludf.DUMMYFUNCTION("""COMPUTED_VALUE"""),"DATA BASE_Files_/61.IJAZAH.033801.pdf")</f>
        <v>DATA BASE_Files_/61.IJAZAH.033801.pdf</v>
      </c>
      <c r="AH52" s="38" t="str">
        <f>IFERROR(__xludf.DUMMYFUNCTION("""COMPUTED_VALUE"""),"DATA BASE_Files_/61.SK AWAL.033801.pdf")</f>
        <v>DATA BASE_Files_/61.SK AWAL.033801.pdf</v>
      </c>
      <c r="AI52" s="38" t="str">
        <f>IFERROR(__xludf.DUMMYFUNCTION("""COMPUTED_VALUE"""),"6. RAWAT JALAN")</f>
        <v>6. RAWAT JALAN</v>
      </c>
      <c r="AJ52" s="38"/>
      <c r="AK52" s="38"/>
      <c r="AL52" s="38"/>
      <c r="AM52" s="38"/>
      <c r="AN52" s="38" t="str">
        <f>IFERROR(__xludf.DUMMYFUNCTION("""COMPUTED_VALUE"""),"AKTIF")</f>
        <v>AKTIF</v>
      </c>
    </row>
    <row r="53" ht="12.75" spans="1:40">
      <c r="A53" s="38">
        <f>IFERROR(__xludf.DUMMYFUNCTION("""COMPUTED_VALUE"""),52)</f>
        <v>52</v>
      </c>
      <c r="B53" s="38" t="str">
        <f>IFERROR(__xludf.DUMMYFUNCTION("""COMPUTED_VALUE"""),"Viona Riska Dwi Lestari")</f>
        <v>Viona Riska Dwi Lestari</v>
      </c>
      <c r="C53" s="38" t="str">
        <f>IFERROR(__xludf.DUMMYFUNCTION("""COMPUTED_VALUE"""),"a@gmail.com")</f>
        <v>a@gmail.com</v>
      </c>
      <c r="D53" s="38" t="str">
        <f>IFERROR(__xludf.DUMMYFUNCTION("""COMPUTED_VALUE"""),"B199909132020012001")</f>
        <v>B199909132020012001</v>
      </c>
      <c r="E53" s="38">
        <f>IFERROR(__xludf.DUMMYFUNCTION("""COMPUTED_VALUE"""),0)</f>
        <v>0</v>
      </c>
      <c r="F53" s="38" t="str">
        <f>IFERROR(__xludf.DUMMYFUNCTION("""COMPUTED_VALUE"""),"P")</f>
        <v>P</v>
      </c>
      <c r="G53" s="38" t="str">
        <f>IFERROR(__xludf.DUMMYFUNCTION("""COMPUTED_VALUE"""),"Tenggarong,13 September 1999")</f>
        <v>Tenggarong,13 September 1999</v>
      </c>
      <c r="H53" s="39">
        <f>IFERROR(__xludf.DUMMYFUNCTION("""COMPUTED_VALUE"""),36416)</f>
        <v>36416</v>
      </c>
      <c r="I53" s="38">
        <f>IFERROR(__xludf.DUMMYFUNCTION("""COMPUTED_VALUE"""),26)</f>
        <v>26</v>
      </c>
      <c r="J53" s="38" t="str">
        <f>IFERROR(__xludf.DUMMYFUNCTION("""COMPUTED_VALUE"""),"SMA")</f>
        <v>SMA</v>
      </c>
      <c r="K53" s="38"/>
      <c r="L53" s="38"/>
      <c r="M53" s="38" t="str">
        <f>IFERROR(__xludf.DUMMYFUNCTION("""COMPUTED_VALUE"""),"UMUM")</f>
        <v>UMUM</v>
      </c>
      <c r="N53" s="39">
        <f>IFERROR(__xludf.DUMMYFUNCTION("""COMPUTED_VALUE"""),43831)</f>
        <v>43831</v>
      </c>
      <c r="O53" s="39">
        <f>IFERROR(__xludf.DUMMYFUNCTION("""COMPUTED_VALUE"""),46211.4145195486)</f>
        <v>46211.4145195486</v>
      </c>
      <c r="P53" s="38" t="str">
        <f>IFERROR(__xludf.DUMMYFUNCTION("""COMPUTED_VALUE"""),"6 Tahun6 Bulan")</f>
        <v>6 Tahun6 Bulan</v>
      </c>
      <c r="Q53" s="38" t="str">
        <f>IFERROR(__xludf.DUMMYFUNCTION("""COMPUTED_VALUE"""),"Staff Rawat jalan")</f>
        <v>Staff Rawat jalan</v>
      </c>
      <c r="R53" s="38" t="str">
        <f>IFERROR(__xludf.DUMMYFUNCTION("""COMPUTED_VALUE"""),"BLUD")</f>
        <v>BLUD</v>
      </c>
      <c r="S53" s="38"/>
      <c r="T53" s="39">
        <f>IFERROR(__xludf.DUMMYFUNCTION("""COMPUTED_VALUE"""),36892)</f>
        <v>36892</v>
      </c>
      <c r="U53" s="39">
        <f>IFERROR(__xludf.DUMMYFUNCTION("""COMPUTED_VALUE"""),46211.4145195717)</f>
        <v>46211.4145195717</v>
      </c>
      <c r="V53" s="38" t="str">
        <f>IFERROR(__xludf.DUMMYFUNCTION("""COMPUTED_VALUE"""),"#NUM!")</f>
        <v>#NUM!</v>
      </c>
      <c r="W53" s="38"/>
      <c r="X53" s="39">
        <f>IFERROR(__xludf.DUMMYFUNCTION("""COMPUTED_VALUE"""),36892)</f>
        <v>36892</v>
      </c>
      <c r="Y53" s="39">
        <f>IFERROR(__xludf.DUMMYFUNCTION("""COMPUTED_VALUE"""),46211.4145195833)</f>
        <v>46211.4145195833</v>
      </c>
      <c r="Z53" s="38" t="str">
        <f>IFERROR(__xludf.DUMMYFUNCTION("""COMPUTED_VALUE"""),"#NUM!")</f>
        <v>#NUM!</v>
      </c>
      <c r="AA53" s="38" t="str">
        <f>IFERROR(__xludf.DUMMYFUNCTION("""COMPUTED_VALUE"""),"DATA BASE_Images/62.FOTO.025043.jpg")</f>
        <v>DATA BASE_Images/62.FOTO.025043.jpg</v>
      </c>
      <c r="AB53" s="38"/>
      <c r="AC53" s="38"/>
      <c r="AD53" s="38"/>
      <c r="AE53" s="38"/>
      <c r="AF53" s="38"/>
      <c r="AG53" s="38" t="str">
        <f>IFERROR(__xludf.DUMMYFUNCTION("""COMPUTED_VALUE"""),"DATA BASE_Files_/62.IJAZAH.033705.pdf")</f>
        <v>DATA BASE_Files_/62.IJAZAH.033705.pdf</v>
      </c>
      <c r="AH53" s="38"/>
      <c r="AI53" s="38" t="str">
        <f>IFERROR(__xludf.DUMMYFUNCTION("""COMPUTED_VALUE"""),"2. ADMINISTRASI")</f>
        <v>2. ADMINISTRASI</v>
      </c>
      <c r="AJ53" s="38"/>
      <c r="AK53" s="38"/>
      <c r="AL53" s="38"/>
      <c r="AM53" s="38"/>
      <c r="AN53" s="38" t="str">
        <f>IFERROR(__xludf.DUMMYFUNCTION("""COMPUTED_VALUE"""),"AKTIF")</f>
        <v>AKTIF</v>
      </c>
    </row>
    <row r="54" ht="12.75" spans="1:40">
      <c r="A54" s="38">
        <f>IFERROR(__xludf.DUMMYFUNCTION("""COMPUTED_VALUE"""),53)</f>
        <v>53</v>
      </c>
      <c r="B54" s="38" t="str">
        <f>IFERROR(__xludf.DUMMYFUNCTION("""COMPUTED_VALUE"""),"Yudistira Ang Jaya")</f>
        <v>Yudistira Ang Jaya</v>
      </c>
      <c r="C54" s="38" t="str">
        <f>IFERROR(__xludf.DUMMYFUNCTION("""COMPUTED_VALUE"""),"AA@GMAIL.COM")</f>
        <v>AA@GMAIL.COM</v>
      </c>
      <c r="D54" s="38" t="str">
        <f>IFERROR(__xludf.DUMMYFUNCTION("""COMPUTED_VALUE"""),"198212272009021001")</f>
        <v>198212272009021001</v>
      </c>
      <c r="E54" s="38">
        <f>IFERROR(__xludf.DUMMYFUNCTION("""COMPUTED_VALUE"""),0)</f>
        <v>0</v>
      </c>
      <c r="F54" s="38" t="str">
        <f>IFERROR(__xludf.DUMMYFUNCTION("""COMPUTED_VALUE"""),"L")</f>
        <v>L</v>
      </c>
      <c r="G54" s="38" t="str">
        <f>IFERROR(__xludf.DUMMYFUNCTION("""COMPUTED_VALUE"""),"Tenggarong,27 desember 1982")</f>
        <v>Tenggarong,27 desember 1982</v>
      </c>
      <c r="H54" s="40">
        <f>IFERROR(__xludf.DUMMYFUNCTION("""COMPUTED_VALUE"""),30312)</f>
        <v>30312</v>
      </c>
      <c r="I54" s="38">
        <f>IFERROR(__xludf.DUMMYFUNCTION("""COMPUTED_VALUE"""),43)</f>
        <v>43</v>
      </c>
      <c r="J54" s="38" t="str">
        <f>IFERROR(__xludf.DUMMYFUNCTION("""COMPUTED_VALUE"""),"SMA")</f>
        <v>SMA</v>
      </c>
      <c r="K54" s="38"/>
      <c r="L54" s="38" t="str">
        <f>IFERROR(__xludf.DUMMYFUNCTION("""COMPUTED_VALUE"""),"SEKOLAH TINGGI ILMU EKONOMI ""IEU"" YOGYAKARTA")</f>
        <v>SEKOLAH TINGGI ILMU EKONOMI "IEU" YOGYAKARTA</v>
      </c>
      <c r="M54" s="38" t="str">
        <f>IFERROR(__xludf.DUMMYFUNCTION("""COMPUTED_VALUE"""),"UMUM")</f>
        <v>UMUM</v>
      </c>
      <c r="N54" s="39">
        <f>IFERROR(__xludf.DUMMYFUNCTION("""COMPUTED_VALUE"""),39845)</f>
        <v>39845</v>
      </c>
      <c r="O54" s="39">
        <f>IFERROR(__xludf.DUMMYFUNCTION("""COMPUTED_VALUE"""),46211.4145195486)</f>
        <v>46211.4145195486</v>
      </c>
      <c r="P54" s="38" t="str">
        <f>IFERROR(__xludf.DUMMYFUNCTION("""COMPUTED_VALUE"""),"17 Tahun5 Bulan")</f>
        <v>17 Tahun5 Bulan</v>
      </c>
      <c r="Q54" s="38" t="str">
        <f>IFERROR(__xludf.DUMMYFUNCTION("""COMPUTED_VALUE"""),"Staff Gudang")</f>
        <v>Staff Gudang</v>
      </c>
      <c r="R54" s="38" t="str">
        <f>IFERROR(__xludf.DUMMYFUNCTION("""COMPUTED_VALUE"""),"PNS")</f>
        <v>PNS</v>
      </c>
      <c r="S54" s="38"/>
      <c r="T54" s="39">
        <f>IFERROR(__xludf.DUMMYFUNCTION("""COMPUTED_VALUE"""),36892)</f>
        <v>36892</v>
      </c>
      <c r="U54" s="39">
        <f>IFERROR(__xludf.DUMMYFUNCTION("""COMPUTED_VALUE"""),46211.4145195717)</f>
        <v>46211.4145195717</v>
      </c>
      <c r="V54" s="38" t="str">
        <f>IFERROR(__xludf.DUMMYFUNCTION("""COMPUTED_VALUE"""),"#NUM!")</f>
        <v>#NUM!</v>
      </c>
      <c r="W54" s="38"/>
      <c r="X54" s="39">
        <f>IFERROR(__xludf.DUMMYFUNCTION("""COMPUTED_VALUE"""),36892)</f>
        <v>36892</v>
      </c>
      <c r="Y54" s="39">
        <f>IFERROR(__xludf.DUMMYFUNCTION("""COMPUTED_VALUE"""),46211.4145195833)</f>
        <v>46211.4145195833</v>
      </c>
      <c r="Z54" s="38" t="str">
        <f>IFERROR(__xludf.DUMMYFUNCTION("""COMPUTED_VALUE"""),"#NUM!")</f>
        <v>#NUM!</v>
      </c>
      <c r="AA54" s="38" t="str">
        <f>IFERROR(__xludf.DUMMYFUNCTION("""COMPUTED_VALUE"""),"DATA BASE_Images/63.FOTO.012655.png")</f>
        <v>DATA BASE_Images/63.FOTO.012655.png</v>
      </c>
      <c r="AB54" s="38"/>
      <c r="AC54" s="38"/>
      <c r="AD54" s="38"/>
      <c r="AE54" s="38"/>
      <c r="AF54" s="38"/>
      <c r="AG54" s="38" t="str">
        <f>IFERROR(__xludf.DUMMYFUNCTION("""COMPUTED_VALUE"""),"DATA BASE_Files_/63.IJAZAH.012748.pdf")</f>
        <v>DATA BASE_Files_/63.IJAZAH.012748.pdf</v>
      </c>
      <c r="AH54" s="38" t="str">
        <f>IFERROR(__xludf.DUMMYFUNCTION("""COMPUTED_VALUE"""),"DATA BASE_Files_/63.SK AWAL.012748.pdf")</f>
        <v>DATA BASE_Files_/63.SK AWAL.012748.pdf</v>
      </c>
      <c r="AI54" s="38" t="str">
        <f>IFERROR(__xludf.DUMMYFUNCTION("""COMPUTED_VALUE"""),"8. GUDANG FARMASI")</f>
        <v>8. GUDANG FARMASI</v>
      </c>
      <c r="AJ54" s="38"/>
      <c r="AK54" s="38"/>
      <c r="AL54" s="38"/>
      <c r="AM54" s="38"/>
      <c r="AN54" s="38" t="str">
        <f>IFERROR(__xludf.DUMMYFUNCTION("""COMPUTED_VALUE"""),"AKTIF")</f>
        <v>AKTIF</v>
      </c>
    </row>
    <row r="55" ht="12.75" spans="1:40">
      <c r="A55" s="38">
        <f>IFERROR(__xludf.DUMMYFUNCTION("""COMPUTED_VALUE"""),54)</f>
        <v>54</v>
      </c>
      <c r="B55" s="38" t="str">
        <f>IFERROR(__xludf.DUMMYFUNCTION("""COMPUTED_VALUE"""),"Erwin")</f>
        <v>Erwin</v>
      </c>
      <c r="C55" s="38" t="str">
        <f>IFERROR(__xludf.DUMMYFUNCTION("""COMPUTED_VALUE"""),"a@gmail.com")</f>
        <v>a@gmail.com</v>
      </c>
      <c r="D55" s="38" t="str">
        <f>IFERROR(__xludf.DUMMYFUNCTION("""COMPUTED_VALUE"""),"B200201242022091001")</f>
        <v>B200201242022091001</v>
      </c>
      <c r="E55" s="38" t="str">
        <f>IFERROR(__xludf.DUMMYFUNCTION("""COMPUTED_VALUE"""),"6402162401020001")</f>
        <v>6402162401020001</v>
      </c>
      <c r="F55" s="38" t="str">
        <f>IFERROR(__xludf.DUMMYFUNCTION("""COMPUTED_VALUE"""),"L")</f>
        <v>L</v>
      </c>
      <c r="G55" s="38" t="str">
        <f>IFERROR(__xludf.DUMMYFUNCTION("""COMPUTED_VALUE"""),"Loa raya, 24 Januari 2002")</f>
        <v>Loa raya, 24 Januari 2002</v>
      </c>
      <c r="H55" s="40">
        <f>IFERROR(__xludf.DUMMYFUNCTION("""COMPUTED_VALUE"""),37280)</f>
        <v>37280</v>
      </c>
      <c r="I55" s="38">
        <f>IFERROR(__xludf.DUMMYFUNCTION("""COMPUTED_VALUE"""),24)</f>
        <v>24</v>
      </c>
      <c r="J55" s="38" t="str">
        <f>IFERROR(__xludf.DUMMYFUNCTION("""COMPUTED_VALUE"""),"SMA")</f>
        <v>SMA</v>
      </c>
      <c r="K55" s="38" t="str">
        <f>IFERROR(__xludf.DUMMYFUNCTION("""COMPUTED_VALUE"""),"Loa Raya RT.02")</f>
        <v>Loa Raya RT.02</v>
      </c>
      <c r="L55" s="38"/>
      <c r="M55" s="38" t="str">
        <f>IFERROR(__xludf.DUMMYFUNCTION("""COMPUTED_VALUE"""),"UMUM")</f>
        <v>UMUM</v>
      </c>
      <c r="N55" s="40">
        <f>IFERROR(__xludf.DUMMYFUNCTION("""COMPUTED_VALUE"""),44890)</f>
        <v>44890</v>
      </c>
      <c r="O55" s="39">
        <f>IFERROR(__xludf.DUMMYFUNCTION("""COMPUTED_VALUE"""),46211.4145195486)</f>
        <v>46211.4145195486</v>
      </c>
      <c r="P55" s="38" t="str">
        <f>IFERROR(__xludf.DUMMYFUNCTION("""COMPUTED_VALUE"""),"3 Tahun7 Bulan")</f>
        <v>3 Tahun7 Bulan</v>
      </c>
      <c r="Q55" s="38"/>
      <c r="R55" s="38" t="str">
        <f>IFERROR(__xludf.DUMMYFUNCTION("""COMPUTED_VALUE"""),"BLUD")</f>
        <v>BLUD</v>
      </c>
      <c r="S55" s="38"/>
      <c r="T55" s="40">
        <f>IFERROR(__xludf.DUMMYFUNCTION("""COMPUTED_VALUE"""),44890)</f>
        <v>44890</v>
      </c>
      <c r="U55" s="39">
        <f>IFERROR(__xludf.DUMMYFUNCTION("""COMPUTED_VALUE"""),46211.4145195717)</f>
        <v>46211.4145195717</v>
      </c>
      <c r="V55" s="38" t="str">
        <f>IFERROR(__xludf.DUMMYFUNCTION("""COMPUTED_VALUE"""),"#NUM!")</f>
        <v>#NUM!</v>
      </c>
      <c r="W55" s="38"/>
      <c r="X55" s="39">
        <f>IFERROR(__xludf.DUMMYFUNCTION("""COMPUTED_VALUE"""),36892)</f>
        <v>36892</v>
      </c>
      <c r="Y55" s="39">
        <f>IFERROR(__xludf.DUMMYFUNCTION("""COMPUTED_VALUE"""),46211.4145195833)</f>
        <v>46211.4145195833</v>
      </c>
      <c r="Z55" s="38" t="str">
        <f>IFERROR(__xludf.DUMMYFUNCTION("""COMPUTED_VALUE"""),"#NUM!")</f>
        <v>#NUM!</v>
      </c>
      <c r="AA55" s="38" t="str">
        <f>IFERROR(__xludf.DUMMYFUNCTION("""COMPUTED_VALUE"""),"DATA BASE_Images/64.FOTO.032928.jpg")</f>
        <v>DATA BASE_Images/64.FOTO.032928.jpg</v>
      </c>
      <c r="AB55" s="38"/>
      <c r="AC55" s="38"/>
      <c r="AD55" s="38"/>
      <c r="AE55" s="38"/>
      <c r="AF55" s="38"/>
      <c r="AG55" s="38" t="str">
        <f>IFERROR(__xludf.DUMMYFUNCTION("""COMPUTED_VALUE"""),"DATA BASE_Files_/64.IJAZAH.062651.pdf")</f>
        <v>DATA BASE_Files_/64.IJAZAH.062651.pdf</v>
      </c>
      <c r="AH55" s="38"/>
      <c r="AI55" s="38" t="str">
        <f>IFERROR(__xludf.DUMMYFUNCTION("""COMPUTED_VALUE"""),"5. RAWAT INAP")</f>
        <v>5. RAWAT INAP</v>
      </c>
      <c r="AJ55" s="38"/>
      <c r="AK55" s="38"/>
      <c r="AL55" s="38"/>
      <c r="AM55" s="38"/>
      <c r="AN55" s="38" t="str">
        <f>IFERROR(__xludf.DUMMYFUNCTION("""COMPUTED_VALUE"""),"AKTIF")</f>
        <v>AKTIF</v>
      </c>
    </row>
    <row r="56" ht="12.75" spans="1:40">
      <c r="A56" s="38">
        <f>IFERROR(__xludf.DUMMYFUNCTION("""COMPUTED_VALUE"""),55)</f>
        <v>55</v>
      </c>
      <c r="B56" s="38" t="str">
        <f>IFERROR(__xludf.DUMMYFUNCTION("""COMPUTED_VALUE"""),"Apt. Rulina Citra, S.Farm")</f>
        <v>Apt. Rulina Citra, S.Farm</v>
      </c>
      <c r="C56" s="38" t="str">
        <f>IFERROR(__xludf.DUMMYFUNCTION("""COMPUTED_VALUE"""),"rulina.citra3@gmail.com")</f>
        <v>rulina.citra3@gmail.com</v>
      </c>
      <c r="D56" s="38" t="str">
        <f>IFERROR(__xludf.DUMMYFUNCTION("""COMPUTED_VALUE"""),"B199804042023032001")</f>
        <v>B199804042023032001</v>
      </c>
      <c r="E56" s="38" t="str">
        <f>IFERROR(__xludf.DUMMYFUNCTION("""COMPUTED_VALUE"""),"6402064404980002")</f>
        <v>6402064404980002</v>
      </c>
      <c r="F56" s="38" t="str">
        <f>IFERROR(__xludf.DUMMYFUNCTION("""COMPUTED_VALUE"""),"P")</f>
        <v>P</v>
      </c>
      <c r="G56" s="38" t="str">
        <f>IFERROR(__xludf.DUMMYFUNCTION("""COMPUTED_VALUE"""),"Tenggarong, 04/04/1998")</f>
        <v>Tenggarong, 04/04/1998</v>
      </c>
      <c r="H56" s="39">
        <f>IFERROR(__xludf.DUMMYFUNCTION("""COMPUTED_VALUE"""),35889)</f>
        <v>35889</v>
      </c>
      <c r="I56" s="38">
        <f>IFERROR(__xludf.DUMMYFUNCTION("""COMPUTED_VALUE"""),28)</f>
        <v>28</v>
      </c>
      <c r="J56" s="38" t="str">
        <f>IFERROR(__xludf.DUMMYFUNCTION("""COMPUTED_VALUE"""),"S1 APOTEKER")</f>
        <v>S1 APOTEKER</v>
      </c>
      <c r="K56" s="38" t="str">
        <f>IFERROR(__xludf.DUMMYFUNCTION("""COMPUTED_VALUE"""),"JL. ARWANA BLOK E NO 19 KEL. TIMBAU, KEC. TENGGARONG, KAB. KUTAI KARTANEGARA")</f>
        <v>JL. ARWANA BLOK E NO 19 KEL. TIMBAU, KEC. TENGGARONG, KAB. KUTAI KARTANEGARA</v>
      </c>
      <c r="L56" s="38" t="str">
        <f>IFERROR(__xludf.DUMMYFUNCTION("""COMPUTED_VALUE"""),"Universitas Mulawarman")</f>
        <v>Universitas Mulawarman</v>
      </c>
      <c r="M56" s="38" t="str">
        <f>IFERROR(__xludf.DUMMYFUNCTION("""COMPUTED_VALUE"""),"APOTEKER")</f>
        <v>APOTEKER</v>
      </c>
      <c r="N56" s="39">
        <f>IFERROR(__xludf.DUMMYFUNCTION("""COMPUTED_VALUE"""),44991)</f>
        <v>44991</v>
      </c>
      <c r="O56" s="39">
        <f>IFERROR(__xludf.DUMMYFUNCTION("""COMPUTED_VALUE"""),46211.4145195486)</f>
        <v>46211.4145195486</v>
      </c>
      <c r="P56" s="38" t="str">
        <f>IFERROR(__xludf.DUMMYFUNCTION("""COMPUTED_VALUE"""),"3 Tahun4 Bulan")</f>
        <v>3 Tahun4 Bulan</v>
      </c>
      <c r="Q56" s="38"/>
      <c r="R56" s="38" t="str">
        <f>IFERROR(__xludf.DUMMYFUNCTION("""COMPUTED_VALUE"""),"BLUD")</f>
        <v>BLUD</v>
      </c>
      <c r="S56" s="38" t="str">
        <f>IFERROR(__xludf.DUMMYFUNCTION("""COMPUTED_VALUE"""),"22 28 7 2 1 22-98040404")</f>
        <v>22 28 7 2 1 22-98040404</v>
      </c>
      <c r="T56" s="39">
        <f>IFERROR(__xludf.DUMMYFUNCTION("""COMPUTED_VALUE"""),46481)</f>
        <v>46481</v>
      </c>
      <c r="U56" s="42">
        <f>IFERROR(__xludf.DUMMYFUNCTION("""COMPUTED_VALUE"""),46211.4145195717)</f>
        <v>46211.4145195717</v>
      </c>
      <c r="V56" s="38" t="str">
        <f>IFERROR(__xludf.DUMMYFUNCTION("""COMPUTED_VALUE"""),"0 Tahun8 Bulan")</f>
        <v>0 Tahun8 Bulan</v>
      </c>
      <c r="W56" s="38" t="str">
        <f>IFERROR(__xludf.DUMMYFUNCTION("""COMPUTED_VALUE"""),"19980404/SIPA 64.03/2023/2/249")</f>
        <v>19980404/SIPA 64.03/2023/2/249</v>
      </c>
      <c r="X56" s="39">
        <f>IFERROR(__xludf.DUMMYFUNCTION("""COMPUTED_VALUE"""),46481)</f>
        <v>46481</v>
      </c>
      <c r="Y56" s="39">
        <f>IFERROR(__xludf.DUMMYFUNCTION("""COMPUTED_VALUE"""),46211.4145195833)</f>
        <v>46211.4145195833</v>
      </c>
      <c r="Z56" s="38" t="str">
        <f>IFERROR(__xludf.DUMMYFUNCTION("""COMPUTED_VALUE"""),"0 Tahun8 Bulan")</f>
        <v>0 Tahun8 Bulan</v>
      </c>
      <c r="AA56" s="38" t="str">
        <f>IFERROR(__xludf.DUMMYFUNCTION("""COMPUTED_VALUE"""),"DATA BASE_Images/65.FOTO.022513.jpg")</f>
        <v>DATA BASE_Images/65.FOTO.022513.jpg</v>
      </c>
      <c r="AB56" s="38"/>
      <c r="AC56" s="38"/>
      <c r="AD56" s="38" t="str">
        <f>IFERROR(__xludf.DUMMYFUNCTION("""COMPUTED_VALUE"""),"DATA BASE_Files_/65.FILE STR.053014.pdf")</f>
        <v>DATA BASE_Files_/65.FILE STR.053014.pdf</v>
      </c>
      <c r="AE56" s="38" t="str">
        <f>IFERROR(__xludf.DUMMYFUNCTION("""COMPUTED_VALUE"""),"DATA BASE_Files_/65.FILE SIPA.053014.pdf")</f>
        <v>DATA BASE_Files_/65.FILE SIPA.053014.pdf</v>
      </c>
      <c r="AF56" s="38" t="str">
        <f>IFERROR(__xludf.DUMMYFUNCTION("""COMPUTED_VALUE"""),"DATA BASE_Files_/65.FILE RKK.053014.pdf")</f>
        <v>DATA BASE_Files_/65.FILE RKK.053014.pdf</v>
      </c>
      <c r="AG56" s="38"/>
      <c r="AH56" s="38"/>
      <c r="AI56" s="38" t="str">
        <f>IFERROR(__xludf.DUMMYFUNCTION("""COMPUTED_VALUE"""),"6. RAWAT JALAN")</f>
        <v>6. RAWAT JALAN</v>
      </c>
      <c r="AJ56" s="38"/>
      <c r="AK56" s="38"/>
      <c r="AL56" s="38"/>
      <c r="AM56" s="38"/>
      <c r="AN56" s="38" t="str">
        <f>IFERROR(__xludf.DUMMYFUNCTION("""COMPUTED_VALUE"""),"AKTIF")</f>
        <v>AKTIF</v>
      </c>
    </row>
    <row r="57" ht="12.75" spans="1:40">
      <c r="A57" s="38">
        <f>IFERROR(__xludf.DUMMYFUNCTION("""COMPUTED_VALUE"""),56)</f>
        <v>56</v>
      </c>
      <c r="B57" s="38" t="str">
        <f>IFERROR(__xludf.DUMMYFUNCTION("""COMPUTED_VALUE"""),"Apt.Chaerul Reza Mahendra,S.Farm")</f>
        <v>Apt.Chaerul Reza Mahendra,S.Farm</v>
      </c>
      <c r="C57" s="38" t="str">
        <f>IFERROR(__xludf.DUMMYFUNCTION("""COMPUTED_VALUE"""),"cr.mahendra18@gmail.com")</f>
        <v>cr.mahendra18@gmail.com</v>
      </c>
      <c r="D57" s="38" t="str">
        <f>IFERROR(__xludf.DUMMYFUNCTION("""COMPUTED_VALUE"""),"B200004102023031001")</f>
        <v>B200004102023031001</v>
      </c>
      <c r="E57" s="38" t="str">
        <f>IFERROR(__xludf.DUMMYFUNCTION("""COMPUTED_VALUE"""),"6407071004000001")</f>
        <v>6407071004000001</v>
      </c>
      <c r="F57" s="38" t="str">
        <f>IFERROR(__xludf.DUMMYFUNCTION("""COMPUTED_VALUE"""),"L")</f>
        <v>L</v>
      </c>
      <c r="G57" s="38" t="str">
        <f>IFERROR(__xludf.DUMMYFUNCTION("""COMPUTED_VALUE"""),"Balikpapan,10/04/2000")</f>
        <v>Balikpapan,10/04/2000</v>
      </c>
      <c r="H57" s="39">
        <f>IFERROR(__xludf.DUMMYFUNCTION("""COMPUTED_VALUE"""),36626)</f>
        <v>36626</v>
      </c>
      <c r="I57" s="38">
        <f>IFERROR(__xludf.DUMMYFUNCTION("""COMPUTED_VALUE"""),26)</f>
        <v>26</v>
      </c>
      <c r="J57" s="38" t="str">
        <f>IFERROR(__xludf.DUMMYFUNCTION("""COMPUTED_VALUE"""),"S1 APOTEKER")</f>
        <v>S1 APOTEKER</v>
      </c>
      <c r="K57" s="38" t="str">
        <f>IFERROR(__xludf.DUMMYFUNCTION("""COMPUTED_VALUE"""),"Jl. Flamboyan, RT 06, Sumbersari, Kecamatan Barong Tongkok, Kabupaten Kutai Barat, Kalimantan TImur, 75777")</f>
        <v>Jl. Flamboyan, RT 06, Sumbersari, Kecamatan Barong Tongkok, Kabupaten Kutai Barat, Kalimantan TImur, 75777</v>
      </c>
      <c r="L57" s="38" t="str">
        <f>IFERROR(__xludf.DUMMYFUNCTION("""COMPUTED_VALUE"""),"UNIVERSITAS MUHAMMADIYAH MALANG")</f>
        <v>UNIVERSITAS MUHAMMADIYAH MALANG</v>
      </c>
      <c r="M57" s="38" t="str">
        <f>IFERROR(__xludf.DUMMYFUNCTION("""COMPUTED_VALUE"""),"APOTEKER")</f>
        <v>APOTEKER</v>
      </c>
      <c r="N57" s="39">
        <f>IFERROR(__xludf.DUMMYFUNCTION("""COMPUTED_VALUE"""),44991)</f>
        <v>44991</v>
      </c>
      <c r="O57" s="39">
        <f>IFERROR(__xludf.DUMMYFUNCTION("""COMPUTED_VALUE"""),46211.4145195486)</f>
        <v>46211.4145195486</v>
      </c>
      <c r="P57" s="38" t="str">
        <f>IFERROR(__xludf.DUMMYFUNCTION("""COMPUTED_VALUE"""),"3 Tahun4 Bulan")</f>
        <v>3 Tahun4 Bulan</v>
      </c>
      <c r="Q57" s="38" t="str">
        <f>IFERROR(__xludf.DUMMYFUNCTION("""COMPUTED_VALUE"""),"Apt.Rawat inap")</f>
        <v>Apt.Rawat inap</v>
      </c>
      <c r="R57" s="38" t="str">
        <f>IFERROR(__xludf.DUMMYFUNCTION("""COMPUTED_VALUE"""),"BLUD")</f>
        <v>BLUD</v>
      </c>
      <c r="S57" s="38" t="str">
        <f>IFERROR(__xludf.DUMMYFUNCTION("""COMPUTED_VALUE"""),"22.28. 7.1.1.22-00041001")</f>
        <v>22.28. 7.1.1.22-00041001</v>
      </c>
      <c r="T57" s="39">
        <f>IFERROR(__xludf.DUMMYFUNCTION("""COMPUTED_VALUE"""),46487)</f>
        <v>46487</v>
      </c>
      <c r="U57" s="42">
        <f>IFERROR(__xludf.DUMMYFUNCTION("""COMPUTED_VALUE"""),46211.4145195717)</f>
        <v>46211.4145195717</v>
      </c>
      <c r="V57" s="38" t="str">
        <f>IFERROR(__xludf.DUMMYFUNCTION("""COMPUTED_VALUE"""),"0 Tahun9 Bulan")</f>
        <v>0 Tahun9 Bulan</v>
      </c>
      <c r="W57" s="38" t="str">
        <f>IFERROR(__xludf.DUMMYFUNCTION("""COMPUTED_VALUE"""),"20000410/SIPA 64.03/2023/1/224")</f>
        <v>20000410/SIPA 64.03/2023/1/224</v>
      </c>
      <c r="X57" s="39">
        <f>IFERROR(__xludf.DUMMYFUNCTION("""COMPUTED_VALUE"""),46487)</f>
        <v>46487</v>
      </c>
      <c r="Y57" s="39">
        <f>IFERROR(__xludf.DUMMYFUNCTION("""COMPUTED_VALUE"""),46211.4145195833)</f>
        <v>46211.4145195833</v>
      </c>
      <c r="Z57" s="38" t="str">
        <f>IFERROR(__xludf.DUMMYFUNCTION("""COMPUTED_VALUE"""),"0 Tahun9 Bulan")</f>
        <v>0 Tahun9 Bulan</v>
      </c>
      <c r="AA57" s="38" t="str">
        <f>IFERROR(__xludf.DUMMYFUNCTION("""COMPUTED_VALUE"""),"DATA BASE_Images/66.FOTO.025405.png")</f>
        <v>DATA BASE_Images/66.FOTO.025405.png</v>
      </c>
      <c r="AB57" s="38"/>
      <c r="AC57" s="38"/>
      <c r="AD57" s="38" t="str">
        <f>IFERROR(__xludf.DUMMYFUNCTION("""COMPUTED_VALUE"""),"DATA BASE_Files_/66.FILE STR.020430.pdf")</f>
        <v>DATA BASE_Files_/66.FILE STR.020430.pdf</v>
      </c>
      <c r="AE57" s="38" t="str">
        <f>IFERROR(__xludf.DUMMYFUNCTION("""COMPUTED_VALUE"""),"DATA BASE_Files_/66.FILE SIPA.020429.pdf")</f>
        <v>DATA BASE_Files_/66.FILE SIPA.020429.pdf</v>
      </c>
      <c r="AF57" s="38" t="str">
        <f>IFERROR(__xludf.DUMMYFUNCTION("""COMPUTED_VALUE"""),"DATA BASE_Files_/66.FILE RKK.020429.PDF")</f>
        <v>DATA BASE_Files_/66.FILE RKK.020429.PDF</v>
      </c>
      <c r="AG57" s="38"/>
      <c r="AH57" s="38"/>
      <c r="AI57" s="38" t="str">
        <f>IFERROR(__xludf.DUMMYFUNCTION("""COMPUTED_VALUE"""),"7. UPSS")</f>
        <v>7. UPSS</v>
      </c>
      <c r="AJ57" s="38"/>
      <c r="AK57" s="38"/>
      <c r="AL57" s="38"/>
      <c r="AM57" s="38"/>
      <c r="AN57" s="38" t="str">
        <f>IFERROR(__xludf.DUMMYFUNCTION("""COMPUTED_VALUE"""),"AKTIF")</f>
        <v>AKTIF</v>
      </c>
    </row>
    <row r="58" ht="12.75" spans="1:40">
      <c r="A58" s="38">
        <f>IFERROR(__xludf.DUMMYFUNCTION("""COMPUTED_VALUE"""),57)</f>
        <v>57</v>
      </c>
      <c r="B58" s="38" t="str">
        <f>IFERROR(__xludf.DUMMYFUNCTION("""COMPUTED_VALUE"""),"Apt. Yunisca Febrianty, S.Farm")</f>
        <v>Apt. Yunisca Febrianty, S.Farm</v>
      </c>
      <c r="C58" s="38" t="str">
        <f>IFERROR(__xludf.DUMMYFUNCTION("""COMPUTED_VALUE"""),"yuniscaf13@gmail.com")</f>
        <v>yuniscaf13@gmail.com</v>
      </c>
      <c r="D58" s="38" t="str">
        <f>IFERROR(__xludf.DUMMYFUNCTION("""COMPUTED_VALUE"""),"B199602132023032001")</f>
        <v>B199602132023032001</v>
      </c>
      <c r="E58" s="38" t="str">
        <f>IFERROR(__xludf.DUMMYFUNCTION("""COMPUTED_VALUE"""),"6402065302960001")</f>
        <v>6402065302960001</v>
      </c>
      <c r="F58" s="38" t="str">
        <f>IFERROR(__xludf.DUMMYFUNCTION("""COMPUTED_VALUE"""),"P")</f>
        <v>P</v>
      </c>
      <c r="G58" s="38" t="str">
        <f>IFERROR(__xludf.DUMMYFUNCTION("""COMPUTED_VALUE"""),"Samarinda,13/02/1996")</f>
        <v>Samarinda,13/02/1996</v>
      </c>
      <c r="H58" s="39">
        <f>IFERROR(__xludf.DUMMYFUNCTION("""COMPUTED_VALUE"""),35108)</f>
        <v>35108</v>
      </c>
      <c r="I58" s="38">
        <f>IFERROR(__xludf.DUMMYFUNCTION("""COMPUTED_VALUE"""),30)</f>
        <v>30</v>
      </c>
      <c r="J58" s="38" t="str">
        <f>IFERROR(__xludf.DUMMYFUNCTION("""COMPUTED_VALUE"""),"S1 APOTEKER")</f>
        <v>S1 APOTEKER</v>
      </c>
      <c r="K58" s="38" t="str">
        <f>IFERROR(__xludf.DUMMYFUNCTION("""COMPUTED_VALUE"""),"Jalan Arwana Blok E No 20, Tenggarong")</f>
        <v>Jalan Arwana Blok E No 20, Tenggarong</v>
      </c>
      <c r="L58" s="38" t="str">
        <f>IFERROR(__xludf.DUMMYFUNCTION("""COMPUTED_VALUE"""),"Universitas Sanata Dharma")</f>
        <v>Universitas Sanata Dharma</v>
      </c>
      <c r="M58" s="38" t="str">
        <f>IFERROR(__xludf.DUMMYFUNCTION("""COMPUTED_VALUE"""),"APOTEKER")</f>
        <v>APOTEKER</v>
      </c>
      <c r="N58" s="39">
        <f>IFERROR(__xludf.DUMMYFUNCTION("""COMPUTED_VALUE"""),44991)</f>
        <v>44991</v>
      </c>
      <c r="O58" s="39">
        <f>IFERROR(__xludf.DUMMYFUNCTION("""COMPUTED_VALUE"""),46211.4145195486)</f>
        <v>46211.4145195486</v>
      </c>
      <c r="P58" s="38" t="str">
        <f>IFERROR(__xludf.DUMMYFUNCTION("""COMPUTED_VALUE"""),"3 Tahun4 Bulan")</f>
        <v>3 Tahun4 Bulan</v>
      </c>
      <c r="Q58" s="38"/>
      <c r="R58" s="38" t="str">
        <f>IFERROR(__xludf.DUMMYFUNCTION("""COMPUTED_VALUE"""),"BLUD")</f>
        <v>BLUD</v>
      </c>
      <c r="S58" s="38" t="str">
        <f>IFERROR(__xludf.DUMMYFUNCTION("""COMPUTED_VALUE"""),"KZ00000478644333")</f>
        <v>KZ00000478644333</v>
      </c>
      <c r="T58" s="39">
        <f>IFERROR(__xludf.DUMMYFUNCTION("""COMPUTED_VALUE"""),45335)</f>
        <v>45335</v>
      </c>
      <c r="U58" s="42">
        <f>IFERROR(__xludf.DUMMYFUNCTION("""COMPUTED_VALUE"""),46211.4145195717)</f>
        <v>46211.4145195717</v>
      </c>
      <c r="V58" s="38" t="str">
        <f>IFERROR(__xludf.DUMMYFUNCTION("""COMPUTED_VALUE"""),"#NUM!")</f>
        <v>#NUM!</v>
      </c>
      <c r="W58" s="38" t="str">
        <f>IFERROR(__xludf.DUMMYFUNCTION("""COMPUTED_VALUE"""),"19960213/SIPA 64.03/2024/2/301")</f>
        <v>19960213/SIPA 64.03/2024/2/301</v>
      </c>
      <c r="X58" s="39">
        <f>IFERROR(__xludf.DUMMYFUNCTION("""COMPUTED_VALUE"""),47172)</f>
        <v>47172</v>
      </c>
      <c r="Y58" s="39">
        <f>IFERROR(__xludf.DUMMYFUNCTION("""COMPUTED_VALUE"""),46211.4145195833)</f>
        <v>46211.4145195833</v>
      </c>
      <c r="Z58" s="38" t="str">
        <f>IFERROR(__xludf.DUMMYFUNCTION("""COMPUTED_VALUE"""),"2 Tahun7 Bulan")</f>
        <v>2 Tahun7 Bulan</v>
      </c>
      <c r="AA58" s="38" t="str">
        <f>IFERROR(__xludf.DUMMYFUNCTION("""COMPUTED_VALUE"""),"DATA BASE_Images/67.FOTO.022601.jpg")</f>
        <v>DATA BASE_Images/67.FOTO.022601.jpg</v>
      </c>
      <c r="AB58" s="38"/>
      <c r="AC58" s="38"/>
      <c r="AD58" s="38" t="str">
        <f>IFERROR(__xludf.DUMMYFUNCTION("""COMPUTED_VALUE"""),"DATA BASE_Files_/67.FILE STR.053154.pdf")</f>
        <v>DATA BASE_Files_/67.FILE STR.053154.pdf</v>
      </c>
      <c r="AE58" s="38" t="str">
        <f>IFERROR(__xludf.DUMMYFUNCTION("""COMPUTED_VALUE"""),"DATA BASE_Files_/63.FILE SIPA.060250.pdf")</f>
        <v>DATA BASE_Files_/63.FILE SIPA.060250.pdf</v>
      </c>
      <c r="AF58" s="38" t="str">
        <f>IFERROR(__xludf.DUMMYFUNCTION("""COMPUTED_VALUE"""),"DATA BASE_Files_/67.FILE RKK.053154.PDF")</f>
        <v>DATA BASE_Files_/67.FILE RKK.053154.PDF</v>
      </c>
      <c r="AG58" s="38"/>
      <c r="AH58" s="38"/>
      <c r="AI58" s="38" t="str">
        <f>IFERROR(__xludf.DUMMYFUNCTION("""COMPUTED_VALUE"""),"3. IGD,IBS &amp;CATHLAB")</f>
        <v>3. IGD,IBS &amp;CATHLAB</v>
      </c>
      <c r="AJ58" s="38"/>
      <c r="AK58" s="38"/>
      <c r="AL58" s="38"/>
      <c r="AM58" s="38"/>
      <c r="AN58" s="38" t="str">
        <f>IFERROR(__xludf.DUMMYFUNCTION("""COMPUTED_VALUE"""),"AKTIF")</f>
        <v>AKTIF</v>
      </c>
    </row>
    <row r="59" ht="12.75" spans="1:40">
      <c r="A59" s="38">
        <f>IFERROR(__xludf.DUMMYFUNCTION("""COMPUTED_VALUE"""),58)</f>
        <v>58</v>
      </c>
      <c r="B59" s="38" t="str">
        <f>IFERROR(__xludf.DUMMYFUNCTION("""COMPUTED_VALUE"""),"Putri Apriliana Maharani, A.Md.Farm")</f>
        <v>Putri Apriliana Maharani, A.Md.Farm</v>
      </c>
      <c r="C59" s="38" t="str">
        <f>IFERROR(__xludf.DUMMYFUNCTION("""COMPUTED_VALUE"""),"aaa@gmail.com")</f>
        <v>aaa@gmail.com</v>
      </c>
      <c r="D59" s="38" t="str">
        <f>IFERROR(__xludf.DUMMYFUNCTION("""COMPUTED_VALUE"""),"B200104192023032001")</f>
        <v>B200104192023032001</v>
      </c>
      <c r="E59" s="38" t="str">
        <f>IFERROR(__xludf.DUMMYFUNCTION("""COMPUTED_VALUE"""),"6402065904010001")</f>
        <v>6402065904010001</v>
      </c>
      <c r="F59" s="38" t="str">
        <f>IFERROR(__xludf.DUMMYFUNCTION("""COMPUTED_VALUE"""),"P")</f>
        <v>P</v>
      </c>
      <c r="G59" s="38" t="str">
        <f>IFERROR(__xludf.DUMMYFUNCTION("""COMPUTED_VALUE"""),"Tenggarong")</f>
        <v>Tenggarong</v>
      </c>
      <c r="H59" s="39">
        <f>IFERROR(__xludf.DUMMYFUNCTION("""COMPUTED_VALUE"""),37000)</f>
        <v>37000</v>
      </c>
      <c r="I59" s="38">
        <f>IFERROR(__xludf.DUMMYFUNCTION("""COMPUTED_VALUE"""),25)</f>
        <v>25</v>
      </c>
      <c r="J59" s="38" t="str">
        <f>IFERROR(__xludf.DUMMYFUNCTION("""COMPUTED_VALUE"""),"D3 FARMASI")</f>
        <v>D3 FARMASI</v>
      </c>
      <c r="K59" s="38" t="str">
        <f>IFERROR(__xludf.DUMMYFUNCTION("""COMPUTED_VALUE"""),"Jln. Gunung Menyapa Rt.33 No. 30")</f>
        <v>Jln. Gunung Menyapa Rt.33 No. 30</v>
      </c>
      <c r="L59" s="38" t="str">
        <f>IFERROR(__xludf.DUMMYFUNCTION("""COMPUTED_VALUE"""),"Sekolah Tinggi Ilmu Kesehatan Samarinda")</f>
        <v>Sekolah Tinggi Ilmu Kesehatan Samarinda</v>
      </c>
      <c r="M59" s="38" t="str">
        <f>IFERROR(__xludf.DUMMYFUNCTION("""COMPUTED_VALUE"""),"TTK")</f>
        <v>TTK</v>
      </c>
      <c r="N59" s="39">
        <f>IFERROR(__xludf.DUMMYFUNCTION("""COMPUTED_VALUE"""),44991)</f>
        <v>44991</v>
      </c>
      <c r="O59" s="39">
        <f>IFERROR(__xludf.DUMMYFUNCTION("""COMPUTED_VALUE"""),46211.4145195486)</f>
        <v>46211.4145195486</v>
      </c>
      <c r="P59" s="38" t="str">
        <f>IFERROR(__xludf.DUMMYFUNCTION("""COMPUTED_VALUE"""),"3 Tahun4 Bulan")</f>
        <v>3 Tahun4 Bulan</v>
      </c>
      <c r="Q59" s="38" t="str">
        <f>IFERROR(__xludf.DUMMYFUNCTION("""COMPUTED_VALUE"""),"staff rajal")</f>
        <v>staff rajal</v>
      </c>
      <c r="R59" s="38" t="str">
        <f>IFERROR(__xludf.DUMMYFUNCTION("""COMPUTED_VALUE"""),"THL")</f>
        <v>THL</v>
      </c>
      <c r="S59" s="38" t="str">
        <f>IFERROR(__xludf.DUMMYFUNCTION("""COMPUTED_VALUE"""),"20010419/STRTTK_64/2022/25325")</f>
        <v>20010419/STRTTK_64/2022/25325</v>
      </c>
      <c r="T59" s="39">
        <f>IFERROR(__xludf.DUMMYFUNCTION("""COMPUTED_VALUE"""),46496)</f>
        <v>46496</v>
      </c>
      <c r="U59" s="42">
        <f>IFERROR(__xludf.DUMMYFUNCTION("""COMPUTED_VALUE"""),46211.4145195717)</f>
        <v>46211.4145195717</v>
      </c>
      <c r="V59" s="38" t="str">
        <f>IFERROR(__xludf.DUMMYFUNCTION("""COMPUTED_VALUE"""),"0 Tahun9 Bulan")</f>
        <v>0 Tahun9 Bulan</v>
      </c>
      <c r="W59" s="38" t="str">
        <f>IFERROR(__xludf.DUMMYFUNCTION("""COMPUTED_VALUE"""),"20010419/SIPTTK 64.03/2023/2/162")</f>
        <v>20010419/SIPTTK 64.03/2023/2/162</v>
      </c>
      <c r="X59" s="39">
        <f>IFERROR(__xludf.DUMMYFUNCTION("""COMPUTED_VALUE"""),46496)</f>
        <v>46496</v>
      </c>
      <c r="Y59" s="39">
        <f>IFERROR(__xludf.DUMMYFUNCTION("""COMPUTED_VALUE"""),46211.4145195833)</f>
        <v>46211.4145195833</v>
      </c>
      <c r="Z59" s="38" t="str">
        <f>IFERROR(__xludf.DUMMYFUNCTION("""COMPUTED_VALUE"""),"0 Tahun9 Bulan")</f>
        <v>0 Tahun9 Bulan</v>
      </c>
      <c r="AA59" s="38" t="str">
        <f>IFERROR(__xludf.DUMMYFUNCTION("""COMPUTED_VALUE"""),"DATA BASE_Images/69.FOTO.025517.jpg")</f>
        <v>DATA BASE_Images/69.FOTO.025517.jpg</v>
      </c>
      <c r="AB59" s="38"/>
      <c r="AC59" s="38"/>
      <c r="AD59" s="38" t="str">
        <f>IFERROR(__xludf.DUMMYFUNCTION("""COMPUTED_VALUE"""),"DATA BASE_Files_/69.FILE STR.020706.pdf")</f>
        <v>DATA BASE_Files_/69.FILE STR.020706.pdf</v>
      </c>
      <c r="AE59" s="38" t="str">
        <f>IFERROR(__xludf.DUMMYFUNCTION("""COMPUTED_VALUE"""),"DATA BASE_Files_/69.FILE SIPA.020706.pdf")</f>
        <v>DATA BASE_Files_/69.FILE SIPA.020706.pdf</v>
      </c>
      <c r="AF59" s="38" t="str">
        <f>IFERROR(__xludf.DUMMYFUNCTION("""COMPUTED_VALUE"""),"DATA BASE_Files_/69.FILE RKK.020706.PDF")</f>
        <v>DATA BASE_Files_/69.FILE RKK.020706.PDF</v>
      </c>
      <c r="AG59" s="38"/>
      <c r="AH59" s="38"/>
      <c r="AI59" s="38" t="str">
        <f>IFERROR(__xludf.DUMMYFUNCTION("""COMPUTED_VALUE"""),"6. RAWAT JALAN")</f>
        <v>6. RAWAT JALAN</v>
      </c>
      <c r="AJ59" s="38"/>
      <c r="AK59" s="38"/>
      <c r="AL59" s="38"/>
      <c r="AM59" s="38"/>
      <c r="AN59" s="38" t="str">
        <f>IFERROR(__xludf.DUMMYFUNCTION("""COMPUTED_VALUE"""),"AKTIF")</f>
        <v>AKTIF</v>
      </c>
    </row>
    <row r="60" ht="12.75" spans="1:40">
      <c r="A60" s="38">
        <f>IFERROR(__xludf.DUMMYFUNCTION("""COMPUTED_VALUE"""),59)</f>
        <v>59</v>
      </c>
      <c r="B60" s="38" t="str">
        <f>IFERROR(__xludf.DUMMYFUNCTION("""COMPUTED_VALUE"""),"Risma Saputri,A.Md.Farm")</f>
        <v>Risma Saputri,A.Md.Farm</v>
      </c>
      <c r="C60" s="38" t="str">
        <f>IFERROR(__xludf.DUMMYFUNCTION("""COMPUTED_VALUE"""),"a@gmail.com")</f>
        <v>a@gmail.com</v>
      </c>
      <c r="D60" s="38" t="str">
        <f>IFERROR(__xludf.DUMMYFUNCTION("""COMPUTED_VALUE"""),"B199807112023032001")</f>
        <v>B199807112023032001</v>
      </c>
      <c r="E60" s="38" t="str">
        <f>IFERROR(__xludf.DUMMYFUNCTION("""COMPUTED_VALUE"""),"6402065107980003")</f>
        <v>6402065107980003</v>
      </c>
      <c r="F60" s="38" t="str">
        <f>IFERROR(__xludf.DUMMYFUNCTION("""COMPUTED_VALUE"""),"P")</f>
        <v>P</v>
      </c>
      <c r="G60" s="38" t="str">
        <f>IFERROR(__xludf.DUMMYFUNCTION("""COMPUTED_VALUE"""),"Bontang, 11/07/1998")</f>
        <v>Bontang, 11/07/1998</v>
      </c>
      <c r="H60" s="39">
        <f>IFERROR(__xludf.DUMMYFUNCTION("""COMPUTED_VALUE"""),35987)</f>
        <v>35987</v>
      </c>
      <c r="I60" s="38">
        <f>IFERROR(__xludf.DUMMYFUNCTION("""COMPUTED_VALUE"""),28)</f>
        <v>28</v>
      </c>
      <c r="J60" s="38" t="str">
        <f>IFERROR(__xludf.DUMMYFUNCTION("""COMPUTED_VALUE"""),"D3 FARMASI")</f>
        <v>D3 FARMASI</v>
      </c>
      <c r="K60" s="38" t="str">
        <f>IFERROR(__xludf.DUMMYFUNCTION("""COMPUTED_VALUE"""),"Jalan Pahlawan RT 11 Kel. Timbau Kec. Tenggarong Kab. Kutai Kartanegara")</f>
        <v>Jalan Pahlawan RT 11 Kel. Timbau Kec. Tenggarong Kab. Kutai Kartanegara</v>
      </c>
      <c r="L60" s="38" t="str">
        <f>IFERROR(__xludf.DUMMYFUNCTION("""COMPUTED_VALUE"""),"Universitas Mulawarman")</f>
        <v>Universitas Mulawarman</v>
      </c>
      <c r="M60" s="38" t="str">
        <f>IFERROR(__xludf.DUMMYFUNCTION("""COMPUTED_VALUE"""),"TTK")</f>
        <v>TTK</v>
      </c>
      <c r="N60" s="39">
        <f>IFERROR(__xludf.DUMMYFUNCTION("""COMPUTED_VALUE"""),44986)</f>
        <v>44986</v>
      </c>
      <c r="O60" s="39">
        <f>IFERROR(__xludf.DUMMYFUNCTION("""COMPUTED_VALUE"""),46211.4145195486)</f>
        <v>46211.4145195486</v>
      </c>
      <c r="P60" s="38" t="str">
        <f>IFERROR(__xludf.DUMMYFUNCTION("""COMPUTED_VALUE"""),"3 Tahun4 Bulan")</f>
        <v>3 Tahun4 Bulan</v>
      </c>
      <c r="Q60" s="38" t="str">
        <f>IFERROR(__xludf.DUMMYFUNCTION("""COMPUTED_VALUE"""),"Staff IGD")</f>
        <v>Staff IGD</v>
      </c>
      <c r="R60" s="38" t="str">
        <f>IFERROR(__xludf.DUMMYFUNCTION("""COMPUTED_VALUE"""),"THL")</f>
        <v>THL</v>
      </c>
      <c r="S60" s="38" t="str">
        <f>IFERROR(__xludf.DUMMYFUNCTION("""COMPUTED_VALUE"""),"19980711/STRTTK_64/2019/23984")</f>
        <v>19980711/STRTTK_64/2019/23984</v>
      </c>
      <c r="T60" s="39">
        <f>IFERROR(__xludf.DUMMYFUNCTION("""COMPUTED_VALUE"""),45484)</f>
        <v>45484</v>
      </c>
      <c r="U60" s="42">
        <f>IFERROR(__xludf.DUMMYFUNCTION("""COMPUTED_VALUE"""),46211.4145195717)</f>
        <v>46211.4145195717</v>
      </c>
      <c r="V60" s="38" t="str">
        <f>IFERROR(__xludf.DUMMYFUNCTION("""COMPUTED_VALUE"""),"#NUM!")</f>
        <v>#NUM!</v>
      </c>
      <c r="W60" s="38" t="str">
        <f>IFERROR(__xludf.DUMMYFUNCTION("""COMPUTED_VALUE"""),"19980711/SIPTTK 64.03/2024/2/223")</f>
        <v>19980711/SIPTTK 64.03/2024/2/223</v>
      </c>
      <c r="X60" s="39">
        <f>IFERROR(__xludf.DUMMYFUNCTION("""COMPUTED_VALUE"""),45484)</f>
        <v>45484</v>
      </c>
      <c r="Y60" s="39">
        <f>IFERROR(__xludf.DUMMYFUNCTION("""COMPUTED_VALUE"""),46211.4145195833)</f>
        <v>46211.4145195833</v>
      </c>
      <c r="Z60" s="38" t="str">
        <f>IFERROR(__xludf.DUMMYFUNCTION("""COMPUTED_VALUE"""),"#NUM!")</f>
        <v>#NUM!</v>
      </c>
      <c r="AA60" s="38" t="str">
        <f>IFERROR(__xludf.DUMMYFUNCTION("""COMPUTED_VALUE"""),"DATA BASE_Images/70.FOTO.025544.jpg")</f>
        <v>DATA BASE_Images/70.FOTO.025544.jpg</v>
      </c>
      <c r="AB60" s="38"/>
      <c r="AC60" s="38"/>
      <c r="AD60" s="38" t="str">
        <f>IFERROR(__xludf.DUMMYFUNCTION("""COMPUTED_VALUE"""),"DATA BASE_Files_/70.FILE STR.020805., Farm-STRTTK - Risma Saputri.pdf")</f>
        <v>DATA BASE_Files_/70.FILE STR.020805., Farm-STRTTK - Risma Saputri.pdf</v>
      </c>
      <c r="AE60" s="38" t="str">
        <f>IFERROR(__xludf.DUMMYFUNCTION("""COMPUTED_VALUE"""),"DATA BASE_Files_/66.FILE SIPA.035136.pdf")</f>
        <v>DATA BASE_Files_/66.FILE SIPA.035136.pdf</v>
      </c>
      <c r="AF60" s="38" t="str">
        <f>IFERROR(__xludf.DUMMYFUNCTION("""COMPUTED_VALUE"""),"DATA BASE_Files_/70.FILE RKK.020804.PDF")</f>
        <v>DATA BASE_Files_/70.FILE RKK.020804.PDF</v>
      </c>
      <c r="AG60" s="38"/>
      <c r="AH60" s="38"/>
      <c r="AI60" s="38" t="str">
        <f>IFERROR(__xludf.DUMMYFUNCTION("""COMPUTED_VALUE"""),"3. IGD,IBS &amp;CATHLAB")</f>
        <v>3. IGD,IBS &amp;CATHLAB</v>
      </c>
      <c r="AJ60" s="38"/>
      <c r="AK60" s="38"/>
      <c r="AL60" s="38"/>
      <c r="AM60" s="38"/>
      <c r="AN60" s="38" t="str">
        <f>IFERROR(__xludf.DUMMYFUNCTION("""COMPUTED_VALUE"""),"AKTIF")</f>
        <v>AKTIF</v>
      </c>
    </row>
    <row r="61" ht="12.75" spans="1:40">
      <c r="A61" s="38">
        <f>IFERROR(__xludf.DUMMYFUNCTION("""COMPUTED_VALUE"""),60)</f>
        <v>60</v>
      </c>
      <c r="B61" s="38" t="str">
        <f>IFERROR(__xludf.DUMMYFUNCTION("""COMPUTED_VALUE"""),"Dani Abdul Muttaqin, A.Md.Farm")</f>
        <v>Dani Abdul Muttaqin, A.Md.Farm</v>
      </c>
      <c r="C61" s="38" t="str">
        <f>IFERROR(__xludf.DUMMYFUNCTION("""COMPUTED_VALUE"""),"aaaa@gmail.com")</f>
        <v>aaaa@gmail.com</v>
      </c>
      <c r="D61" s="38" t="str">
        <f>IFERROR(__xludf.DUMMYFUNCTION("""COMPUTED_VALUE"""),"B199503152023031001")</f>
        <v>B199503152023031001</v>
      </c>
      <c r="E61" s="38" t="str">
        <f>IFERROR(__xludf.DUMMYFUNCTION("""COMPUTED_VALUE"""),"6402161503950005")</f>
        <v>6402161503950005</v>
      </c>
      <c r="F61" s="38" t="str">
        <f>IFERROR(__xludf.DUMMYFUNCTION("""COMPUTED_VALUE"""),"L")</f>
        <v>L</v>
      </c>
      <c r="G61" s="38" t="str">
        <f>IFERROR(__xludf.DUMMYFUNCTION("""COMPUTED_VALUE"""),"Kutai,15/03/1995")</f>
        <v>Kutai,15/03/1995</v>
      </c>
      <c r="H61" s="39">
        <f>IFERROR(__xludf.DUMMYFUNCTION("""COMPUTED_VALUE"""),34773)</f>
        <v>34773</v>
      </c>
      <c r="I61" s="38">
        <f>IFERROR(__xludf.DUMMYFUNCTION("""COMPUTED_VALUE"""),31)</f>
        <v>31</v>
      </c>
      <c r="J61" s="38" t="str">
        <f>IFERROR(__xludf.DUMMYFUNCTION("""COMPUTED_VALUE"""),"D3 FARMASI")</f>
        <v>D3 FARMASI</v>
      </c>
      <c r="K61" s="38" t="str">
        <f>IFERROR(__xludf.DUMMYFUNCTION("""COMPUTED_VALUE"""),"Dusun rejo makmur Rt. 04 Desa karang tunggal Kec. Tenggarong seberang")</f>
        <v>Dusun rejo makmur Rt. 04 Desa karang tunggal Kec. Tenggarong seberang</v>
      </c>
      <c r="L61" s="38" t="str">
        <f>IFERROR(__xludf.DUMMYFUNCTION("""COMPUTED_VALUE"""),"AKADEMI FARMASI SAMARINDA")</f>
        <v>AKADEMI FARMASI SAMARINDA</v>
      </c>
      <c r="M61" s="38" t="str">
        <f>IFERROR(__xludf.DUMMYFUNCTION("""COMPUTED_VALUE"""),"TTK")</f>
        <v>TTK</v>
      </c>
      <c r="N61" s="39">
        <f>IFERROR(__xludf.DUMMYFUNCTION("""COMPUTED_VALUE"""),44991)</f>
        <v>44991</v>
      </c>
      <c r="O61" s="39">
        <f>IFERROR(__xludf.DUMMYFUNCTION("""COMPUTED_VALUE"""),46211.4145195486)</f>
        <v>46211.4145195486</v>
      </c>
      <c r="P61" s="38" t="str">
        <f>IFERROR(__xludf.DUMMYFUNCTION("""COMPUTED_VALUE"""),"3 Tahun4 Bulan")</f>
        <v>3 Tahun4 Bulan</v>
      </c>
      <c r="Q61" s="38" t="str">
        <f>IFERROR(__xludf.DUMMYFUNCTION("""COMPUTED_VALUE"""),"Staff IGD &amp; Ibs")</f>
        <v>Staff IGD &amp; Ibs</v>
      </c>
      <c r="R61" s="38" t="str">
        <f>IFERROR(__xludf.DUMMYFUNCTION("""COMPUTED_VALUE"""),"THL")</f>
        <v>THL</v>
      </c>
      <c r="S61" s="38" t="str">
        <f>IFERROR(__xludf.DUMMYFUNCTION("""COMPUTED_VALUE"""),"19950315/STRTTK_64/2016/14702")</f>
        <v>19950315/STRTTK_64/2016/14702</v>
      </c>
      <c r="T61" s="39">
        <f>IFERROR(__xludf.DUMMYFUNCTION("""COMPUTED_VALUE"""),46096)</f>
        <v>46096</v>
      </c>
      <c r="U61" s="42">
        <f>IFERROR(__xludf.DUMMYFUNCTION("""COMPUTED_VALUE"""),46211.4145195717)</f>
        <v>46211.4145195717</v>
      </c>
      <c r="V61" s="38" t="str">
        <f>IFERROR(__xludf.DUMMYFUNCTION("""COMPUTED_VALUE"""),"#NUM!")</f>
        <v>#NUM!</v>
      </c>
      <c r="W61" s="38" t="str">
        <f>IFERROR(__xludf.DUMMYFUNCTION("""COMPUTED_VALUE"""),"19950315/SIPTTK 64.03/2023/1/167")</f>
        <v>19950315/SIPTTK 64.03/2023/1/167</v>
      </c>
      <c r="X61" s="39">
        <f>IFERROR(__xludf.DUMMYFUNCTION("""COMPUTED_VALUE"""),46096)</f>
        <v>46096</v>
      </c>
      <c r="Y61" s="39">
        <f>IFERROR(__xludf.DUMMYFUNCTION("""COMPUTED_VALUE"""),46211.4145195833)</f>
        <v>46211.4145195833</v>
      </c>
      <c r="Z61" s="38" t="str">
        <f>IFERROR(__xludf.DUMMYFUNCTION("""COMPUTED_VALUE"""),"#NUM!")</f>
        <v>#NUM!</v>
      </c>
      <c r="AA61" s="38" t="str">
        <f>IFERROR(__xludf.DUMMYFUNCTION("""COMPUTED_VALUE"""),"DATA BASE_Images/71.FOTO.024509.jpg")</f>
        <v>DATA BASE_Images/71.FOTO.024509.jpg</v>
      </c>
      <c r="AB61" s="38"/>
      <c r="AC61" s="38"/>
      <c r="AD61" s="38" t="str">
        <f>IFERROR(__xludf.DUMMYFUNCTION("""COMPUTED_VALUE"""),"DATA BASE_Files_/71.FILE STR.004824.Farm - STRTTK - Dani Abdul Muttaqin.pdf")</f>
        <v>DATA BASE_Files_/71.FILE STR.004824.Farm - STRTTK - Dani Abdul Muttaqin.pdf</v>
      </c>
      <c r="AE61" s="38" t="str">
        <f>IFERROR(__xludf.DUMMYFUNCTION("""COMPUTED_VALUE"""),"DATA BASE_Files_/71.FILE SIPA.004824.Farm - SIP.pdf")</f>
        <v>DATA BASE_Files_/71.FILE SIPA.004824.Farm - SIP.pdf</v>
      </c>
      <c r="AF61" s="38" t="str">
        <f>IFERROR(__xludf.DUMMYFUNCTION("""COMPUTED_VALUE"""),"DATA BASE_Files_/71.FILE RKK.004824.Farm - SPK RKK - Dani Abdul Muttaqin.pdf")</f>
        <v>DATA BASE_Files_/71.FILE RKK.004824.Farm - SPK RKK - Dani Abdul Muttaqin.pdf</v>
      </c>
      <c r="AG61" s="38"/>
      <c r="AH61" s="38"/>
      <c r="AI61" s="38" t="str">
        <f>IFERROR(__xludf.DUMMYFUNCTION("""COMPUTED_VALUE"""),"6. RAWAT JALAN")</f>
        <v>6. RAWAT JALAN</v>
      </c>
      <c r="AJ61" s="38"/>
      <c r="AK61" s="38"/>
      <c r="AL61" s="38"/>
      <c r="AM61" s="38"/>
      <c r="AN61" s="38" t="str">
        <f>IFERROR(__xludf.DUMMYFUNCTION("""COMPUTED_VALUE"""),"AKTIF")</f>
        <v>AKTIF</v>
      </c>
    </row>
    <row r="62" ht="12.75" spans="1:40">
      <c r="A62" s="38">
        <f>IFERROR(__xludf.DUMMYFUNCTION("""COMPUTED_VALUE"""),61)</f>
        <v>61</v>
      </c>
      <c r="B62" s="38" t="str">
        <f>IFERROR(__xludf.DUMMYFUNCTION("""COMPUTED_VALUE"""),"Apt.Halimatusya'diah,S.Farm")</f>
        <v>Apt.Halimatusya'diah,S.Farm</v>
      </c>
      <c r="C62" s="38" t="str">
        <f>IFERROR(__xludf.DUMMYFUNCTION("""COMPUTED_VALUE"""),"halimahd10@gmail.com")</f>
        <v>halimahd10@gmail.com</v>
      </c>
      <c r="D62" s="38" t="str">
        <f>IFERROR(__xludf.DUMMYFUNCTION("""COMPUTED_VALUE"""),"B199812022023032001")</f>
        <v>B199812022023032001</v>
      </c>
      <c r="E62" s="38" t="str">
        <f>IFERROR(__xludf.DUMMYFUNCTION("""COMPUTED_VALUE"""),"6402064212980002")</f>
        <v>6402064212980002</v>
      </c>
      <c r="F62" s="38" t="str">
        <f>IFERROR(__xludf.DUMMYFUNCTION("""COMPUTED_VALUE"""),"P")</f>
        <v>P</v>
      </c>
      <c r="G62" s="38" t="str">
        <f>IFERROR(__xludf.DUMMYFUNCTION("""COMPUTED_VALUE"""),"Rapak Lambur, 02/12/1998")</f>
        <v>Rapak Lambur, 02/12/1998</v>
      </c>
      <c r="H62" s="39">
        <f>IFERROR(__xludf.DUMMYFUNCTION("""COMPUTED_VALUE"""),36131)</f>
        <v>36131</v>
      </c>
      <c r="I62" s="38">
        <f>IFERROR(__xludf.DUMMYFUNCTION("""COMPUTED_VALUE"""),27)</f>
        <v>27</v>
      </c>
      <c r="J62" s="38" t="str">
        <f>IFERROR(__xludf.DUMMYFUNCTION("""COMPUTED_VALUE"""),"S1 FARMASI")</f>
        <v>S1 FARMASI</v>
      </c>
      <c r="K62" s="38" t="str">
        <f>IFERROR(__xludf.DUMMYFUNCTION("""COMPUTED_VALUE"""),"Jl. Kelapa RT. 004 Desa Rapak Lambur Kecamatan Tenggarong")</f>
        <v>Jl. Kelapa RT. 004 Desa Rapak Lambur Kecamatan Tenggarong</v>
      </c>
      <c r="L62" s="38" t="str">
        <f>IFERROR(__xludf.DUMMYFUNCTION("""COMPUTED_VALUE"""),"Universitas Mulawarman")</f>
        <v>Universitas Mulawarman</v>
      </c>
      <c r="M62" s="38" t="str">
        <f>IFERROR(__xludf.DUMMYFUNCTION("""COMPUTED_VALUE"""),"APOTEKER")</f>
        <v>APOTEKER</v>
      </c>
      <c r="N62" s="39">
        <f>IFERROR(__xludf.DUMMYFUNCTION("""COMPUTED_VALUE"""),44991)</f>
        <v>44991</v>
      </c>
      <c r="O62" s="39">
        <f>IFERROR(__xludf.DUMMYFUNCTION("""COMPUTED_VALUE"""),46211.4145195486)</f>
        <v>46211.4145195486</v>
      </c>
      <c r="P62" s="38" t="str">
        <f>IFERROR(__xludf.DUMMYFUNCTION("""COMPUTED_VALUE"""),"3 Tahun4 Bulan")</f>
        <v>3 Tahun4 Bulan</v>
      </c>
      <c r="Q62" s="38"/>
      <c r="R62" s="38" t="str">
        <f>IFERROR(__xludf.DUMMYFUNCTION("""COMPUTED_VALUE"""),"BLUD")</f>
        <v>BLUD</v>
      </c>
      <c r="S62" s="38" t="str">
        <f>IFERROR(__xludf.DUMMYFUNCTION("""COMPUTED_VALUE"""),"22 28 7 2 1 22-98120201")</f>
        <v>22 28 7 2 1 22-98120201</v>
      </c>
      <c r="T62" s="39">
        <f>IFERROR(__xludf.DUMMYFUNCTION("""COMPUTED_VALUE"""),46723)</f>
        <v>46723</v>
      </c>
      <c r="U62" s="42">
        <f>IFERROR(__xludf.DUMMYFUNCTION("""COMPUTED_VALUE"""),46211.4145195717)</f>
        <v>46211.4145195717</v>
      </c>
      <c r="V62" s="38" t="str">
        <f>IFERROR(__xludf.DUMMYFUNCTION("""COMPUTED_VALUE"""),"1 Tahun4 Bulan")</f>
        <v>1 Tahun4 Bulan</v>
      </c>
      <c r="W62" s="38" t="str">
        <f>IFERROR(__xludf.DUMMYFUNCTION("""COMPUTED_VALUE"""),"19981202/SIPA 64.03/2023/2/255")</f>
        <v>19981202/SIPA 64.03/2023/2/255</v>
      </c>
      <c r="X62" s="39">
        <f>IFERROR(__xludf.DUMMYFUNCTION("""COMPUTED_VALUE"""),46723)</f>
        <v>46723</v>
      </c>
      <c r="Y62" s="39">
        <f>IFERROR(__xludf.DUMMYFUNCTION("""COMPUTED_VALUE"""),46211.4145195833)</f>
        <v>46211.4145195833</v>
      </c>
      <c r="Z62" s="38" t="str">
        <f>IFERROR(__xludf.DUMMYFUNCTION("""COMPUTED_VALUE"""),"1 Tahun4 Bulan")</f>
        <v>1 Tahun4 Bulan</v>
      </c>
      <c r="AA62" s="38" t="str">
        <f>IFERROR(__xludf.DUMMYFUNCTION("""COMPUTED_VALUE"""),"DATA BASE_Images/72.FOTO.022622.jpg")</f>
        <v>DATA BASE_Images/72.FOTO.022622.jpg</v>
      </c>
      <c r="AB62" s="38"/>
      <c r="AC62" s="38"/>
      <c r="AD62" s="38" t="str">
        <f>IFERROR(__xludf.DUMMYFUNCTION("""COMPUTED_VALUE"""),"DATA BASE_Files_/72.FILE STR.054123.pdf")</f>
        <v>DATA BASE_Files_/72.FILE STR.054123.pdf</v>
      </c>
      <c r="AE62" s="38" t="str">
        <f>IFERROR(__xludf.DUMMYFUNCTION("""COMPUTED_VALUE"""),"DATA BASE_Files_/72.FILE SIPA.054123. Halimatusya-diah - halimatusya- diah.pdf")</f>
        <v>DATA BASE_Files_/72.FILE SIPA.054123. Halimatusya-diah - halimatusya- diah.pdf</v>
      </c>
      <c r="AF62" s="38" t="str">
        <f>IFERROR(__xludf.DUMMYFUNCTION("""COMPUTED_VALUE"""),"DATA BASE_Files_/72.FILE RKK.054123.pdf")</f>
        <v>DATA BASE_Files_/72.FILE RKK.054123.pdf</v>
      </c>
      <c r="AG62" s="38"/>
      <c r="AH62" s="38"/>
      <c r="AI62" s="38" t="str">
        <f>IFERROR(__xludf.DUMMYFUNCTION("""COMPUTED_VALUE"""),"6. RAWAT JALAN")</f>
        <v>6. RAWAT JALAN</v>
      </c>
      <c r="AJ62" s="38"/>
      <c r="AK62" s="38"/>
      <c r="AL62" s="38"/>
      <c r="AM62" s="38"/>
      <c r="AN62" s="38" t="str">
        <f>IFERROR(__xludf.DUMMYFUNCTION("""COMPUTED_VALUE"""),"AKTIF")</f>
        <v>AKTIF</v>
      </c>
    </row>
    <row r="63" ht="12.75" spans="1:40">
      <c r="A63" s="38">
        <f>IFERROR(__xludf.DUMMYFUNCTION("""COMPUTED_VALUE"""),62)</f>
        <v>62</v>
      </c>
      <c r="B63" s="38" t="str">
        <f>IFERROR(__xludf.DUMMYFUNCTION("""COMPUTED_VALUE"""),"Apt. Hamziah Filza Fauziah, S.Farm")</f>
        <v>Apt. Hamziah Filza Fauziah, S.Farm</v>
      </c>
      <c r="C63" s="38" t="str">
        <f>IFERROR(__xludf.DUMMYFUNCTION("""COMPUTED_VALUE"""),"hfilza@gmail.com")</f>
        <v>hfilza@gmail.com</v>
      </c>
      <c r="D63" s="38" t="str">
        <f>IFERROR(__xludf.DUMMYFUNCTION("""COMPUTED_VALUE"""),"B199609192023032001")</f>
        <v>B199609192023032001</v>
      </c>
      <c r="E63" s="38" t="str">
        <f>IFERROR(__xludf.DUMMYFUNCTION("""COMPUTED_VALUE"""),"6474025709960003")</f>
        <v>6474025709960003</v>
      </c>
      <c r="F63" s="38" t="str">
        <f>IFERROR(__xludf.DUMMYFUNCTION("""COMPUTED_VALUE"""),"P")</f>
        <v>P</v>
      </c>
      <c r="G63" s="38" t="str">
        <f>IFERROR(__xludf.DUMMYFUNCTION("""COMPUTED_VALUE"""),"Bontang, 17/09/1996")</f>
        <v>Bontang, 17/09/1996</v>
      </c>
      <c r="H63" s="39">
        <f>IFERROR(__xludf.DUMMYFUNCTION("""COMPUTED_VALUE"""),35325)</f>
        <v>35325</v>
      </c>
      <c r="I63" s="38">
        <f>IFERROR(__xludf.DUMMYFUNCTION("""COMPUTED_VALUE"""),29)</f>
        <v>29</v>
      </c>
      <c r="J63" s="38" t="str">
        <f>IFERROR(__xludf.DUMMYFUNCTION("""COMPUTED_VALUE"""),"S1 FARMASI")</f>
        <v>S1 FARMASI</v>
      </c>
      <c r="K63" s="38" t="str">
        <f>IFERROR(__xludf.DUMMYFUNCTION("""COMPUTED_VALUE"""),"Jalan Sultan Hasanuddin RT 31 No 10  kelurahan berbas tengah kecamatan bontang selatan, kota bontang")</f>
        <v>Jalan Sultan Hasanuddin RT 31 No 10  kelurahan berbas tengah kecamatan bontang selatan, kota bontang</v>
      </c>
      <c r="L63" s="38" t="str">
        <f>IFERROR(__xludf.DUMMYFUNCTION("""COMPUTED_VALUE"""),"Universitas mulawarman")</f>
        <v>Universitas mulawarman</v>
      </c>
      <c r="M63" s="38" t="str">
        <f>IFERROR(__xludf.DUMMYFUNCTION("""COMPUTED_VALUE"""),"APOTEKER")</f>
        <v>APOTEKER</v>
      </c>
      <c r="N63" s="39">
        <f>IFERROR(__xludf.DUMMYFUNCTION("""COMPUTED_VALUE"""),44991)</f>
        <v>44991</v>
      </c>
      <c r="O63" s="39">
        <f>IFERROR(__xludf.DUMMYFUNCTION("""COMPUTED_VALUE"""),46211.4145195486)</f>
        <v>46211.4145195486</v>
      </c>
      <c r="P63" s="38" t="str">
        <f>IFERROR(__xludf.DUMMYFUNCTION("""COMPUTED_VALUE"""),"3 Tahun4 Bulan")</f>
        <v>3 Tahun4 Bulan</v>
      </c>
      <c r="Q63" s="38"/>
      <c r="R63" s="38" t="str">
        <f>IFERROR(__xludf.DUMMYFUNCTION("""COMPUTED_VALUE"""),"BLUD")</f>
        <v>BLUD</v>
      </c>
      <c r="S63" s="38" t="str">
        <f>IFERROR(__xludf.DUMMYFUNCTION("""COMPUTED_VALUE"""),"19960917/STRA-UNMUL/2021/119882 052/UN17.13/Prof/2021")</f>
        <v>19960917/STRA-UNMUL/2021/119882 052/UN17.13/Prof/2021</v>
      </c>
      <c r="T63" s="39">
        <f>IFERROR(__xludf.DUMMYFUNCTION("""COMPUTED_VALUE"""),46282)</f>
        <v>46282</v>
      </c>
      <c r="U63" s="42">
        <f>IFERROR(__xludf.DUMMYFUNCTION("""COMPUTED_VALUE"""),46211.4145195717)</f>
        <v>46211.4145195717</v>
      </c>
      <c r="V63" s="38" t="str">
        <f>IFERROR(__xludf.DUMMYFUNCTION("""COMPUTED_VALUE"""),"0 Tahun2 Bulan")</f>
        <v>0 Tahun2 Bulan</v>
      </c>
      <c r="W63" s="38" t="str">
        <f>IFERROR(__xludf.DUMMYFUNCTION("""COMPUTED_VALUE"""),"19960917/SIPA 64.03/2023/2/248")</f>
        <v>19960917/SIPA 64.03/2023/2/248</v>
      </c>
      <c r="X63" s="39">
        <f>IFERROR(__xludf.DUMMYFUNCTION("""COMPUTED_VALUE"""),46282)</f>
        <v>46282</v>
      </c>
      <c r="Y63" s="39">
        <f>IFERROR(__xludf.DUMMYFUNCTION("""COMPUTED_VALUE"""),46211.4145195833)</f>
        <v>46211.4145195833</v>
      </c>
      <c r="Z63" s="38" t="str">
        <f>IFERROR(__xludf.DUMMYFUNCTION("""COMPUTED_VALUE"""),"0 Tahun2 Bulan")</f>
        <v>0 Tahun2 Bulan</v>
      </c>
      <c r="AA63" s="38" t="str">
        <f>IFERROR(__xludf.DUMMYFUNCTION("""COMPUTED_VALUE"""),"DATA BASE_Images/73.FOTO.022653.jpg")</f>
        <v>DATA BASE_Images/73.FOTO.022653.jpg</v>
      </c>
      <c r="AB63" s="38"/>
      <c r="AC63" s="38"/>
      <c r="AD63" s="38" t="str">
        <f>IFERROR(__xludf.DUMMYFUNCTION("""COMPUTED_VALUE"""),"DATA BASE_Files_/73.FILE STR.054247.pdf")</f>
        <v>DATA BASE_Files_/73.FILE STR.054247.pdf</v>
      </c>
      <c r="AE63" s="38" t="str">
        <f>IFERROR(__xludf.DUMMYFUNCTION("""COMPUTED_VALUE"""),"DATA BASE_Files_/73.FILE SIPA.054247.pdf")</f>
        <v>DATA BASE_Files_/73.FILE SIPA.054247.pdf</v>
      </c>
      <c r="AF63" s="38" t="str">
        <f>IFERROR(__xludf.DUMMYFUNCTION("""COMPUTED_VALUE"""),"DATA BASE_Files_/73.FILE RKK.054247.pdf")</f>
        <v>DATA BASE_Files_/73.FILE RKK.054247.pdf</v>
      </c>
      <c r="AG63" s="38"/>
      <c r="AH63" s="38"/>
      <c r="AI63" s="38" t="str">
        <f>IFERROR(__xludf.DUMMYFUNCTION("""COMPUTED_VALUE"""),"6. RAWAT JALAN")</f>
        <v>6. RAWAT JALAN</v>
      </c>
      <c r="AJ63" s="38"/>
      <c r="AK63" s="38"/>
      <c r="AL63" s="38"/>
      <c r="AM63" s="38"/>
      <c r="AN63" s="38" t="str">
        <f>IFERROR(__xludf.DUMMYFUNCTION("""COMPUTED_VALUE"""),"AKTIF")</f>
        <v>AKTIF</v>
      </c>
    </row>
    <row r="64" ht="12.75" spans="1:40">
      <c r="A64" s="38">
        <f>IFERROR(__xludf.DUMMYFUNCTION("""COMPUTED_VALUE"""),63)</f>
        <v>63</v>
      </c>
      <c r="B64" s="38" t="str">
        <f>IFERROR(__xludf.DUMMYFUNCTION("""COMPUTED_VALUE"""),"Nurhasanah,A.Md.Farm")</f>
        <v>Nurhasanah,A.Md.Farm</v>
      </c>
      <c r="C64" s="38" t="str">
        <f>IFERROR(__xludf.DUMMYFUNCTION("""COMPUTED_VALUE"""),"a@gmail.com")</f>
        <v>a@gmail.com</v>
      </c>
      <c r="D64" s="38" t="str">
        <f>IFERROR(__xludf.DUMMYFUNCTION("""COMPUTED_VALUE"""),"B200109302023042001")</f>
        <v>B200109302023042001</v>
      </c>
      <c r="E64" s="38" t="str">
        <f>IFERROR(__xludf.DUMMYFUNCTION("""COMPUTED_VALUE"""),"6472057009010005")</f>
        <v>6472057009010005</v>
      </c>
      <c r="F64" s="38" t="str">
        <f>IFERROR(__xludf.DUMMYFUNCTION("""COMPUTED_VALUE"""),"P")</f>
        <v>P</v>
      </c>
      <c r="G64" s="38" t="str">
        <f>IFERROR(__xludf.DUMMYFUNCTION("""COMPUTED_VALUE"""),"Kutai Kartanegara, 30/09/2001")</f>
        <v>Kutai Kartanegara, 30/09/2001</v>
      </c>
      <c r="H64" s="39">
        <f>IFERROR(__xludf.DUMMYFUNCTION("""COMPUTED_VALUE"""),37164)</f>
        <v>37164</v>
      </c>
      <c r="I64" s="38">
        <f>IFERROR(__xludf.DUMMYFUNCTION("""COMPUTED_VALUE"""),24)</f>
        <v>24</v>
      </c>
      <c r="J64" s="38" t="str">
        <f>IFERROR(__xludf.DUMMYFUNCTION("""COMPUTED_VALUE"""),"D3 FARMASI")</f>
        <v>D3 FARMASI</v>
      </c>
      <c r="K64" s="38" t="str">
        <f>IFERROR(__xludf.DUMMYFUNCTION("""COMPUTED_VALUE"""),"Jl. Kemakmuran, RT. 015, Kel. Sungai Pinang Dalam, Kec. Sungai Pinang")</f>
        <v>Jl. Kemakmuran, RT. 015, Kel. Sungai Pinang Dalam, Kec. Sungai Pinang</v>
      </c>
      <c r="L64" s="38" t="str">
        <f>IFERROR(__xludf.DUMMYFUNCTION("""COMPUTED_VALUE"""),"Universitas Mulawarman")</f>
        <v>Universitas Mulawarman</v>
      </c>
      <c r="M64" s="38" t="str">
        <f>IFERROR(__xludf.DUMMYFUNCTION("""COMPUTED_VALUE"""),"TTK")</f>
        <v>TTK</v>
      </c>
      <c r="N64" s="39">
        <f>IFERROR(__xludf.DUMMYFUNCTION("""COMPUTED_VALUE"""),45019)</f>
        <v>45019</v>
      </c>
      <c r="O64" s="39">
        <f>IFERROR(__xludf.DUMMYFUNCTION("""COMPUTED_VALUE"""),46211.4145195486)</f>
        <v>46211.4145195486</v>
      </c>
      <c r="P64" s="38" t="str">
        <f>IFERROR(__xludf.DUMMYFUNCTION("""COMPUTED_VALUE"""),"3 Tahun3 Bulan")</f>
        <v>3 Tahun3 Bulan</v>
      </c>
      <c r="Q64" s="38" t="str">
        <f>IFERROR(__xludf.DUMMYFUNCTION("""COMPUTED_VALUE"""),"Staff Rawat Inap")</f>
        <v>Staff Rawat Inap</v>
      </c>
      <c r="R64" s="38" t="str">
        <f>IFERROR(__xludf.DUMMYFUNCTION("""COMPUTED_VALUE"""),"BLUD")</f>
        <v>BLUD</v>
      </c>
      <c r="S64" s="38" t="str">
        <f>IFERROR(__xludf.DUMMYFUNCTION("""COMPUTED_VALUE"""),"20010930/STRTTK_64/2022/25180")</f>
        <v>20010930/STRTTK_64/2022/25180</v>
      </c>
      <c r="T64" s="39">
        <f>IFERROR(__xludf.DUMMYFUNCTION("""COMPUTED_VALUE"""),46660)</f>
        <v>46660</v>
      </c>
      <c r="U64" s="42">
        <f>IFERROR(__xludf.DUMMYFUNCTION("""COMPUTED_VALUE"""),46211.4145195717)</f>
        <v>46211.4145195717</v>
      </c>
      <c r="V64" s="38" t="str">
        <f>IFERROR(__xludf.DUMMYFUNCTION("""COMPUTED_VALUE"""),"1 Tahun2 Bulan")</f>
        <v>1 Tahun2 Bulan</v>
      </c>
      <c r="W64" s="38" t="str">
        <f>IFERROR(__xludf.DUMMYFUNCTION("""COMPUTED_VALUE"""),"20010930/SIPTTK 64.30/2023/2/163")</f>
        <v>20010930/SIPTTK 64.30/2023/2/163</v>
      </c>
      <c r="X64" s="39">
        <f>IFERROR(__xludf.DUMMYFUNCTION("""COMPUTED_VALUE"""),46660)</f>
        <v>46660</v>
      </c>
      <c r="Y64" s="39">
        <f>IFERROR(__xludf.DUMMYFUNCTION("""COMPUTED_VALUE"""),46211.4145195833)</f>
        <v>46211.4145195833</v>
      </c>
      <c r="Z64" s="38" t="str">
        <f>IFERROR(__xludf.DUMMYFUNCTION("""COMPUTED_VALUE"""),"1 Tahun2 Bulan")</f>
        <v>1 Tahun2 Bulan</v>
      </c>
      <c r="AA64" s="38" t="str">
        <f>IFERROR(__xludf.DUMMYFUNCTION("""COMPUTED_VALUE"""),"DATA BASE_Images/74.FOTO.025727.jpg")</f>
        <v>DATA BASE_Images/74.FOTO.025727.jpg</v>
      </c>
      <c r="AB64" s="38"/>
      <c r="AC64" s="38"/>
      <c r="AD64" s="38" t="str">
        <f>IFERROR(__xludf.DUMMYFUNCTION("""COMPUTED_VALUE"""),"DATA BASE_Files_/74.FILE STR.020917.pdf")</f>
        <v>DATA BASE_Files_/74.FILE STR.020917.pdf</v>
      </c>
      <c r="AE64" s="38" t="str">
        <f>IFERROR(__xludf.DUMMYFUNCTION("""COMPUTED_VALUE"""),"DATA BASE_Files_/70.FILE SIPA.031000.pdf")</f>
        <v>DATA BASE_Files_/70.FILE SIPA.031000.pdf</v>
      </c>
      <c r="AF64" s="38" t="str">
        <f>IFERROR(__xludf.DUMMYFUNCTION("""COMPUTED_VALUE"""),"DATA BASE_Files_/74.FILE RKK.020917.PDF")</f>
        <v>DATA BASE_Files_/74.FILE RKK.020917.PDF</v>
      </c>
      <c r="AG64" s="38"/>
      <c r="AH64" s="38"/>
      <c r="AI64" s="38" t="str">
        <f>IFERROR(__xludf.DUMMYFUNCTION("""COMPUTED_VALUE"""),"5. RAWAT INAP")</f>
        <v>5. RAWAT INAP</v>
      </c>
      <c r="AJ64" s="38"/>
      <c r="AK64" s="38"/>
      <c r="AL64" s="38"/>
      <c r="AM64" s="38"/>
      <c r="AN64" s="38" t="str">
        <f>IFERROR(__xludf.DUMMYFUNCTION("""COMPUTED_VALUE"""),"AKTIF")</f>
        <v>AKTIF</v>
      </c>
    </row>
    <row r="65" ht="12.75" spans="1:40">
      <c r="A65" s="38">
        <f>IFERROR(__xludf.DUMMYFUNCTION("""COMPUTED_VALUE"""),64)</f>
        <v>64</v>
      </c>
      <c r="B65" s="38" t="str">
        <f>IFERROR(__xludf.DUMMYFUNCTION("""COMPUTED_VALUE"""),"Muhammad Irsandi Oktavianur")</f>
        <v>Muhammad Irsandi Oktavianur</v>
      </c>
      <c r="C65" s="38" t="str">
        <f>IFERROR(__xludf.DUMMYFUNCTION("""COMPUTED_VALUE"""),"a@gmail.com")</f>
        <v>a@gmail.com</v>
      </c>
      <c r="D65" s="38" t="str">
        <f>IFERROR(__xludf.DUMMYFUNCTION("""COMPUTED_VALUE"""),"B200310012023021001")</f>
        <v>B200310012023021001</v>
      </c>
      <c r="E65" s="38">
        <f>IFERROR(__xludf.DUMMYFUNCTION("""COMPUTED_VALUE"""),0)</f>
        <v>0</v>
      </c>
      <c r="F65" s="38" t="str">
        <f>IFERROR(__xludf.DUMMYFUNCTION("""COMPUTED_VALUE"""),"L")</f>
        <v>L</v>
      </c>
      <c r="G65" s="38" t="str">
        <f>IFERROR(__xludf.DUMMYFUNCTION("""COMPUTED_VALUE"""),"Loa Raya,01/10/2003")</f>
        <v>Loa Raya,01/10/2003</v>
      </c>
      <c r="H65" s="39">
        <f>IFERROR(__xludf.DUMMYFUNCTION("""COMPUTED_VALUE"""),37895)</f>
        <v>37895</v>
      </c>
      <c r="I65" s="38">
        <f>IFERROR(__xludf.DUMMYFUNCTION("""COMPUTED_VALUE"""),22)</f>
        <v>22</v>
      </c>
      <c r="J65" s="38" t="str">
        <f>IFERROR(__xludf.DUMMYFUNCTION("""COMPUTED_VALUE"""),"SMA")</f>
        <v>SMA</v>
      </c>
      <c r="K65" s="38" t="str">
        <f>IFERROR(__xludf.DUMMYFUNCTION("""COMPUTED_VALUE"""),"Loa raya Rt1 Tenggarong seberang")</f>
        <v>Loa raya Rt1 Tenggarong seberang</v>
      </c>
      <c r="L65" s="38" t="str">
        <f>IFERROR(__xludf.DUMMYFUNCTION("""COMPUTED_VALUE"""),"Ma ppkp ribathul khail")</f>
        <v>Ma ppkp ribathul khail</v>
      </c>
      <c r="M65" s="38" t="str">
        <f>IFERROR(__xludf.DUMMYFUNCTION("""COMPUTED_VALUE"""),"UMUM")</f>
        <v>UMUM</v>
      </c>
      <c r="N65" s="39">
        <f>IFERROR(__xludf.DUMMYFUNCTION("""COMPUTED_VALUE"""),45065)</f>
        <v>45065</v>
      </c>
      <c r="O65" s="39">
        <f>IFERROR(__xludf.DUMMYFUNCTION("""COMPUTED_VALUE"""),46211.4145195486)</f>
        <v>46211.4145195486</v>
      </c>
      <c r="P65" s="38" t="str">
        <f>IFERROR(__xludf.DUMMYFUNCTION("""COMPUTED_VALUE"""),"3 Tahun1 Bulan")</f>
        <v>3 Tahun1 Bulan</v>
      </c>
      <c r="Q65" s="38" t="str">
        <f>IFERROR(__xludf.DUMMYFUNCTION("""COMPUTED_VALUE"""),"staff logistik")</f>
        <v>staff logistik</v>
      </c>
      <c r="R65" s="38" t="str">
        <f>IFERROR(__xludf.DUMMYFUNCTION("""COMPUTED_VALUE"""),"BLUD")</f>
        <v>BLUD</v>
      </c>
      <c r="S65" s="38"/>
      <c r="T65" s="39">
        <f>IFERROR(__xludf.DUMMYFUNCTION("""COMPUTED_VALUE"""),45065)</f>
        <v>45065</v>
      </c>
      <c r="U65" s="38"/>
      <c r="V65" s="38"/>
      <c r="W65" s="38"/>
      <c r="X65" s="39">
        <f>IFERROR(__xludf.DUMMYFUNCTION("""COMPUTED_VALUE"""),45065)</f>
        <v>45065</v>
      </c>
      <c r="Y65" s="39">
        <f>IFERROR(__xludf.DUMMYFUNCTION("""COMPUTED_VALUE"""),46211.4145195833)</f>
        <v>46211.4145195833</v>
      </c>
      <c r="Z65" s="38" t="str">
        <f>IFERROR(__xludf.DUMMYFUNCTION("""COMPUTED_VALUE"""),"#NUM!")</f>
        <v>#NUM!</v>
      </c>
      <c r="AA65" s="38" t="str">
        <f>IFERROR(__xludf.DUMMYFUNCTION("""COMPUTED_VALUE"""),"DATA BASE_Images/75.FOTO.040134.jpg")</f>
        <v>DATA BASE_Images/75.FOTO.040134.jpg</v>
      </c>
      <c r="AB65" s="38"/>
      <c r="AC65" s="38"/>
      <c r="AD65" s="38"/>
      <c r="AE65" s="38"/>
      <c r="AF65" s="38"/>
      <c r="AG65" s="38" t="str">
        <f>IFERROR(__xludf.DUMMYFUNCTION("""COMPUTED_VALUE"""),"DATA BASE_Files_/75.IJAZAH.062521.pdf")</f>
        <v>DATA BASE_Files_/75.IJAZAH.062521.pdf</v>
      </c>
      <c r="AH65" s="38"/>
      <c r="AI65" s="38" t="str">
        <f>IFERROR(__xludf.DUMMYFUNCTION("""COMPUTED_VALUE"""),"8. GUDANG FARMASI")</f>
        <v>8. GUDANG FARMASI</v>
      </c>
      <c r="AJ65" s="38"/>
      <c r="AK65" s="38"/>
      <c r="AL65" s="38"/>
      <c r="AM65" s="38"/>
      <c r="AN65" s="38" t="str">
        <f>IFERROR(__xludf.DUMMYFUNCTION("""COMPUTED_VALUE"""),"AKTIF")</f>
        <v>AKTIF</v>
      </c>
    </row>
    <row r="66" ht="12.75" spans="1:40">
      <c r="A66" s="38">
        <f>IFERROR(__xludf.DUMMYFUNCTION("""COMPUTED_VALUE"""),65)</f>
        <v>65</v>
      </c>
      <c r="B66" s="38" t="str">
        <f>IFERROR(__xludf.DUMMYFUNCTION("""COMPUTED_VALUE"""),"Liani Meyanti, S.farm.Apt")</f>
        <v>Liani Meyanti, S.farm.Apt</v>
      </c>
      <c r="C66" s="38" t="str">
        <f>IFERROR(__xludf.DUMMYFUNCTION("""COMPUTED_VALUE"""),"A@gmail.com")</f>
        <v>A@gmail.com</v>
      </c>
      <c r="D66" s="38" t="str">
        <f>IFERROR(__xludf.DUMMYFUNCTION("""COMPUTED_VALUE"""),"199305192024212006")</f>
        <v>199305192024212006</v>
      </c>
      <c r="E66" s="38" t="str">
        <f>IFERROR(__xludf.DUMMYFUNCTION("""COMPUTED_VALUE"""),"6402115905930003")</f>
        <v>6402115905930003</v>
      </c>
      <c r="F66" s="38" t="str">
        <f>IFERROR(__xludf.DUMMYFUNCTION("""COMPUTED_VALUE"""),"P")</f>
        <v>P</v>
      </c>
      <c r="G66" s="38"/>
      <c r="H66" s="39">
        <f>IFERROR(__xludf.DUMMYFUNCTION("""COMPUTED_VALUE"""),36892)</f>
        <v>36892</v>
      </c>
      <c r="I66" s="38">
        <f>IFERROR(__xludf.DUMMYFUNCTION("""COMPUTED_VALUE"""),25)</f>
        <v>25</v>
      </c>
      <c r="J66" s="38" t="str">
        <f>IFERROR(__xludf.DUMMYFUNCTION("""COMPUTED_VALUE"""),"S1 FARMASI")</f>
        <v>S1 FARMASI</v>
      </c>
      <c r="K66" s="38" t="str">
        <f>IFERROR(__xludf.DUMMYFUNCTION("""COMPUTED_VALUE"""),"Muara Kaman Ilir RT 07 Kec. Muara Kaman")</f>
        <v>Muara Kaman Ilir RT 07 Kec. Muara Kaman</v>
      </c>
      <c r="L66" s="38"/>
      <c r="M66" s="38" t="str">
        <f>IFERROR(__xludf.DUMMYFUNCTION("""COMPUTED_VALUE"""),"APOTEKER")</f>
        <v>APOTEKER</v>
      </c>
      <c r="N66" s="39">
        <f>IFERROR(__xludf.DUMMYFUNCTION("""COMPUTED_VALUE"""),36892)</f>
        <v>36892</v>
      </c>
      <c r="O66" s="39">
        <f>IFERROR(__xludf.DUMMYFUNCTION("""COMPUTED_VALUE"""),46211.4145195486)</f>
        <v>46211.4145195486</v>
      </c>
      <c r="P66" s="38" t="str">
        <f>IFERROR(__xludf.DUMMYFUNCTION("""COMPUTED_VALUE"""),"25 Tahun6 Bulan")</f>
        <v>25 Tahun6 Bulan</v>
      </c>
      <c r="Q66" s="38" t="str">
        <f>IFERROR(__xludf.DUMMYFUNCTION("""COMPUTED_VALUE"""),"Apt.Rawat Jalan")</f>
        <v>Apt.Rawat Jalan</v>
      </c>
      <c r="R66" s="38" t="str">
        <f>IFERROR(__xludf.DUMMYFUNCTION("""COMPUTED_VALUE"""),"PPPK")</f>
        <v>PPPK</v>
      </c>
      <c r="S66" s="38" t="str">
        <f>IFERROR(__xludf.DUMMYFUNCTION("""COMPUTED_VALUE"""),"WV00000864584537")</f>
        <v>WV00000864584537</v>
      </c>
      <c r="T66" s="39">
        <f>IFERROR(__xludf.DUMMYFUNCTION("""COMPUTED_VALUE"""),36892)</f>
        <v>36892</v>
      </c>
      <c r="U66" s="38"/>
      <c r="V66" s="38"/>
      <c r="W66" s="38" t="str">
        <f>IFERROR(__xludf.DUMMYFUNCTION("""COMPUTED_VALUE"""),"19930519/SIPA 64.03/2024/2/422")</f>
        <v>19930519/SIPA 64.03/2024/2/422</v>
      </c>
      <c r="X66" s="39">
        <f>IFERROR(__xludf.DUMMYFUNCTION("""COMPUTED_VALUE"""),47412)</f>
        <v>47412</v>
      </c>
      <c r="Y66" s="39">
        <f>IFERROR(__xludf.DUMMYFUNCTION("""COMPUTED_VALUE"""),46211.4145195833)</f>
        <v>46211.4145195833</v>
      </c>
      <c r="Z66" s="38" t="str">
        <f>IFERROR(__xludf.DUMMYFUNCTION("""COMPUTED_VALUE"""),"3 Tahun3 Bulan")</f>
        <v>3 Tahun3 Bulan</v>
      </c>
      <c r="AA66" s="38"/>
      <c r="AB66" s="38"/>
      <c r="AC66" s="38"/>
      <c r="AD66" s="38"/>
      <c r="AE66" s="38"/>
      <c r="AF66" s="38"/>
      <c r="AG66" s="38"/>
      <c r="AH66" s="38"/>
      <c r="AI66" s="38" t="str">
        <f>IFERROR(__xludf.DUMMYFUNCTION("""COMPUTED_VALUE"""),"6. RAWAT JALAN")</f>
        <v>6. RAWAT JALAN</v>
      </c>
      <c r="AJ66" s="38"/>
      <c r="AK66" s="38"/>
      <c r="AL66" s="38"/>
      <c r="AM66" s="38"/>
      <c r="AN66" s="38" t="str">
        <f>IFERROR(__xludf.DUMMYFUNCTION("""COMPUTED_VALUE"""),"AKTIF")</f>
        <v>AKTIF</v>
      </c>
    </row>
    <row r="67" ht="12.75" spans="1:40">
      <c r="A67" s="38">
        <f>IFERROR(__xludf.DUMMYFUNCTION("""COMPUTED_VALUE"""),66)</f>
        <v>66</v>
      </c>
      <c r="B67" s="38" t="str">
        <f>IFERROR(__xludf.DUMMYFUNCTION("""COMPUTED_VALUE"""),"Yulinda Christien, A.Md.Far")</f>
        <v>Yulinda Christien, A.Md.Far</v>
      </c>
      <c r="C67" s="38" t="str">
        <f>IFERROR(__xludf.DUMMYFUNCTION("""COMPUTED_VALUE"""),"a@gmail.com")</f>
        <v>a@gmail.com</v>
      </c>
      <c r="D67" s="38" t="str">
        <f>IFERROR(__xludf.DUMMYFUNCTION("""COMPUTED_VALUE"""),"B199707222024032001")</f>
        <v>B199707222024032001</v>
      </c>
      <c r="E67" s="38">
        <f>IFERROR(__xludf.DUMMYFUNCTION("""COMPUTED_VALUE"""),0)</f>
        <v>0</v>
      </c>
      <c r="F67" s="38" t="str">
        <f>IFERROR(__xludf.DUMMYFUNCTION("""COMPUTED_VALUE"""),"P")</f>
        <v>P</v>
      </c>
      <c r="G67" s="38" t="str">
        <f>IFERROR(__xludf.DUMMYFUNCTION("""COMPUTED_VALUE"""),"Tenggarong")</f>
        <v>Tenggarong</v>
      </c>
      <c r="H67" s="39">
        <f>IFERROR(__xludf.DUMMYFUNCTION("""COMPUTED_VALUE"""),35633)</f>
        <v>35633</v>
      </c>
      <c r="I67" s="38">
        <f>IFERROR(__xludf.DUMMYFUNCTION("""COMPUTED_VALUE"""),28)</f>
        <v>28</v>
      </c>
      <c r="J67" s="38" t="str">
        <f>IFERROR(__xludf.DUMMYFUNCTION("""COMPUTED_VALUE"""),"D3 FARMASI")</f>
        <v>D3 FARMASI</v>
      </c>
      <c r="K67" s="38" t="str">
        <f>IFERROR(__xludf.DUMMYFUNCTION("""COMPUTED_VALUE"""),"Jl. Gn. Menyapa perum penerangan RT.017 blok. CC No.1A. Kel. Timbau Kec. Tenggarong Kab. Kutai Kartanegara")</f>
        <v>Jl. Gn. Menyapa perum penerangan RT.017 blok. CC No.1A. Kel. Timbau Kec. Tenggarong Kab. Kutai Kartanegara</v>
      </c>
      <c r="L67" s="38" t="str">
        <f>IFERROR(__xludf.DUMMYFUNCTION("""COMPUTED_VALUE"""),"Akademi Farmasi Samarinda")</f>
        <v>Akademi Farmasi Samarinda</v>
      </c>
      <c r="M67" s="38" t="str">
        <f>IFERROR(__xludf.DUMMYFUNCTION("""COMPUTED_VALUE"""),"TTK")</f>
        <v>TTK</v>
      </c>
      <c r="N67" s="39">
        <f>IFERROR(__xludf.DUMMYFUNCTION("""COMPUTED_VALUE"""),45354)</f>
        <v>45354</v>
      </c>
      <c r="O67" s="39">
        <f>IFERROR(__xludf.DUMMYFUNCTION("""COMPUTED_VALUE"""),46211.4145195486)</f>
        <v>46211.4145195486</v>
      </c>
      <c r="P67" s="38" t="str">
        <f>IFERROR(__xludf.DUMMYFUNCTION("""COMPUTED_VALUE"""),"2 Tahun4 Bulan")</f>
        <v>2 Tahun4 Bulan</v>
      </c>
      <c r="Q67" s="38" t="str">
        <f>IFERROR(__xludf.DUMMYFUNCTION("""COMPUTED_VALUE"""),"Staff Rawat Inap")</f>
        <v>Staff Rawat Inap</v>
      </c>
      <c r="R67" s="38" t="str">
        <f>IFERROR(__xludf.DUMMYFUNCTION("""COMPUTED_VALUE"""),"BLUD")</f>
        <v>BLUD</v>
      </c>
      <c r="S67" s="38" t="str">
        <f>IFERROR(__xludf.DUMMYFUNCTION("""COMPUTED_VALUE"""),"RB00000174223920")</f>
        <v>RB00000174223920</v>
      </c>
      <c r="T67" s="39">
        <f>IFERROR(__xludf.DUMMYFUNCTION("""COMPUTED_VALUE"""),47696)</f>
        <v>47696</v>
      </c>
      <c r="U67" s="38"/>
      <c r="V67" s="38"/>
      <c r="W67" s="38"/>
      <c r="X67" s="39">
        <f>IFERROR(__xludf.DUMMYFUNCTION("""COMPUTED_VALUE"""),45442)</f>
        <v>45442</v>
      </c>
      <c r="Y67" s="39">
        <f>IFERROR(__xludf.DUMMYFUNCTION("""COMPUTED_VALUE"""),46211.4145195833)</f>
        <v>46211.4145195833</v>
      </c>
      <c r="Z67" s="38" t="str">
        <f>IFERROR(__xludf.DUMMYFUNCTION("""COMPUTED_VALUE"""),"#NUM!")</f>
        <v>#NUM!</v>
      </c>
      <c r="AA67" s="38" t="str">
        <f>IFERROR(__xludf.DUMMYFUNCTION("""COMPUTED_VALUE"""),"DATA BASE_Images/72.FOTO.022604.jpg")</f>
        <v>DATA BASE_Images/72.FOTO.022604.jpg</v>
      </c>
      <c r="AB67" s="38"/>
      <c r="AC67" s="38"/>
      <c r="AD67" s="38" t="str">
        <f>IFERROR(__xludf.DUMMYFUNCTION("""COMPUTED_VALUE"""),"DATA BASE_Files_/72.FILE STR.022604. PDF - yulinda christien.pdf")</f>
        <v>DATA BASE_Files_/72.FILE STR.022604. PDF - yulinda christien.pdf</v>
      </c>
      <c r="AE67" s="38" t="str">
        <f>IFERROR(__xludf.DUMMYFUNCTION("""COMPUTED_VALUE"""),"DATA BASE_Files_/72.FILE SIPA.022604.pdf")</f>
        <v>DATA BASE_Files_/72.FILE SIPA.022604.pdf</v>
      </c>
      <c r="AF67" s="38"/>
      <c r="AG67" s="38"/>
      <c r="AH67" s="38"/>
      <c r="AI67" s="38" t="str">
        <f>IFERROR(__xludf.DUMMYFUNCTION("""COMPUTED_VALUE"""),"5. RAWAT INAP")</f>
        <v>5. RAWAT INAP</v>
      </c>
      <c r="AJ67" s="38"/>
      <c r="AK67" s="38"/>
      <c r="AL67" s="38"/>
      <c r="AM67" s="38"/>
      <c r="AN67" s="38" t="str">
        <f>IFERROR(__xludf.DUMMYFUNCTION("""COMPUTED_VALUE"""),"AKTIF")</f>
        <v>AKTIF</v>
      </c>
    </row>
    <row r="68" ht="12.75" spans="1:40">
      <c r="A68" s="38">
        <f>IFERROR(__xludf.DUMMYFUNCTION("""COMPUTED_VALUE"""),67)</f>
        <v>67</v>
      </c>
      <c r="B68" s="38" t="str">
        <f>IFERROR(__xludf.DUMMYFUNCTION("""COMPUTED_VALUE"""),"Fatmah, A.Md.Far")</f>
        <v>Fatmah, A.Md.Far</v>
      </c>
      <c r="C68" s="38" t="str">
        <f>IFERROR(__xludf.DUMMYFUNCTION("""COMPUTED_VALUE"""),"a@gmail.com")</f>
        <v>a@gmail.com</v>
      </c>
      <c r="D68" s="38" t="str">
        <f>IFERROR(__xludf.DUMMYFUNCTION("""COMPUTED_VALUE"""),"B199504042024042001")</f>
        <v>B199504042024042001</v>
      </c>
      <c r="E68" s="38">
        <f>IFERROR(__xludf.DUMMYFUNCTION("""COMPUTED_VALUE"""),0)</f>
        <v>0</v>
      </c>
      <c r="F68" s="38" t="str">
        <f>IFERROR(__xludf.DUMMYFUNCTION("""COMPUTED_VALUE"""),"P")</f>
        <v>P</v>
      </c>
      <c r="G68" s="38" t="str">
        <f>IFERROR(__xludf.DUMMYFUNCTION("""COMPUTED_VALUE"""),"KUPANG")</f>
        <v>KUPANG</v>
      </c>
      <c r="H68" s="39">
        <f>IFERROR(__xludf.DUMMYFUNCTION("""COMPUTED_VALUE"""),34793)</f>
        <v>34793</v>
      </c>
      <c r="I68" s="38">
        <f>IFERROR(__xludf.DUMMYFUNCTION("""COMPUTED_VALUE"""),31)</f>
        <v>31</v>
      </c>
      <c r="J68" s="38" t="str">
        <f>IFERROR(__xludf.DUMMYFUNCTION("""COMPUTED_VALUE"""),"D3 FARMASI")</f>
        <v>D3 FARMASI</v>
      </c>
      <c r="K68" s="38" t="str">
        <f>IFERROR(__xludf.DUMMYFUNCTION("""COMPUTED_VALUE"""),"Jl.rahmat Rt 09 desa gas alam badak 1, Muara Badak")</f>
        <v>Jl.rahmat Rt 09 desa gas alam badak 1, Muara Badak</v>
      </c>
      <c r="L68" s="38" t="str">
        <f>IFERROR(__xludf.DUMMYFUNCTION("""COMPUTED_VALUE"""),"Akademi farmasi Samarinda")</f>
        <v>Akademi farmasi Samarinda</v>
      </c>
      <c r="M68" s="38" t="str">
        <f>IFERROR(__xludf.DUMMYFUNCTION("""COMPUTED_VALUE"""),"TTK")</f>
        <v>TTK</v>
      </c>
      <c r="N68" s="39">
        <f>IFERROR(__xludf.DUMMYFUNCTION("""COMPUTED_VALUE"""),45383)</f>
        <v>45383</v>
      </c>
      <c r="O68" s="39">
        <f>IFERROR(__xludf.DUMMYFUNCTION("""COMPUTED_VALUE"""),46211.4145195486)</f>
        <v>46211.4145195486</v>
      </c>
      <c r="P68" s="38" t="str">
        <f>IFERROR(__xludf.DUMMYFUNCTION("""COMPUTED_VALUE"""),"2 Tahun3 Bulan")</f>
        <v>2 Tahun3 Bulan</v>
      </c>
      <c r="Q68" s="38" t="str">
        <f>IFERROR(__xludf.DUMMYFUNCTION("""COMPUTED_VALUE"""),"Staff Rawat Inap")</f>
        <v>Staff Rawat Inap</v>
      </c>
      <c r="R68" s="38" t="str">
        <f>IFERROR(__xludf.DUMMYFUNCTION("""COMPUTED_VALUE"""),"BLUD")</f>
        <v>BLUD</v>
      </c>
      <c r="S68" s="38" t="str">
        <f>IFERROR(__xludf.DUMMYFUNCTION("""COMPUTED_VALUE"""),"BO00000818763333")</f>
        <v>BO00000818763333</v>
      </c>
      <c r="T68" s="39">
        <f>IFERROR(__xludf.DUMMYFUNCTION("""COMPUTED_VALUE"""),47731)</f>
        <v>47731</v>
      </c>
      <c r="U68" s="38"/>
      <c r="V68" s="38"/>
      <c r="W68" s="38" t="str">
        <f>IFERROR(__xludf.DUMMYFUNCTION("""COMPUTED_VALUE"""),"19950404/SIPTTK 64.03/2024/2/248")</f>
        <v>19950404/SIPTTK 64.03/2024/2/248</v>
      </c>
      <c r="X68" s="39">
        <f>IFERROR(__xludf.DUMMYFUNCTION("""COMPUTED_VALUE"""),47378)</f>
        <v>47378</v>
      </c>
      <c r="Y68" s="39">
        <f>IFERROR(__xludf.DUMMYFUNCTION("""COMPUTED_VALUE"""),46211.4145195833)</f>
        <v>46211.4145195833</v>
      </c>
      <c r="Z68" s="38" t="str">
        <f>IFERROR(__xludf.DUMMYFUNCTION("""COMPUTED_VALUE"""),"3 Tahun2 Bulan")</f>
        <v>3 Tahun2 Bulan</v>
      </c>
      <c r="AA68" s="38" t="str">
        <f>IFERROR(__xludf.DUMMYFUNCTION("""COMPUTED_VALUE"""),"DATA BASE_Images/73.FOTO.023046.jpg")</f>
        <v>DATA BASE_Images/73.FOTO.023046.jpg</v>
      </c>
      <c r="AB68" s="38"/>
      <c r="AC68" s="38"/>
      <c r="AD68" s="38" t="str">
        <f>IFERROR(__xludf.DUMMYFUNCTION("""COMPUTED_VALUE"""),"DATA BASE_Files_/73.FILE STR.023046.pdf")</f>
        <v>DATA BASE_Files_/73.FILE STR.023046.pdf</v>
      </c>
      <c r="AE68" s="38" t="str">
        <f>IFERROR(__xludf.DUMMYFUNCTION("""COMPUTED_VALUE"""),"DATA BASE_Files_/73.FILE SIPA.023046.pdf")</f>
        <v>DATA BASE_Files_/73.FILE SIPA.023046.pdf</v>
      </c>
      <c r="AF68" s="38"/>
      <c r="AG68" s="38"/>
      <c r="AH68" s="38"/>
      <c r="AI68" s="38" t="str">
        <f>IFERROR(__xludf.DUMMYFUNCTION("""COMPUTED_VALUE"""),"3. IGD,IBS &amp;CATHLAB")</f>
        <v>3. IGD,IBS &amp;CATHLAB</v>
      </c>
      <c r="AJ68" s="38"/>
      <c r="AK68" s="38"/>
      <c r="AL68" s="38"/>
      <c r="AM68" s="38"/>
      <c r="AN68" s="38" t="str">
        <f>IFERROR(__xludf.DUMMYFUNCTION("""COMPUTED_VALUE"""),"AKTIF")</f>
        <v>AKTIF</v>
      </c>
    </row>
    <row r="69" ht="12.75" spans="1:40">
      <c r="A69" s="38">
        <f>IFERROR(__xludf.DUMMYFUNCTION("""COMPUTED_VALUE"""),68)</f>
        <v>68</v>
      </c>
      <c r="B69" s="38" t="str">
        <f>IFERROR(__xludf.DUMMYFUNCTION("""COMPUTED_VALUE"""),"Eka Fitriani Purwanti")</f>
        <v>Eka Fitriani Purwanti</v>
      </c>
      <c r="C69" s="38" t="str">
        <f>IFERROR(__xludf.DUMMYFUNCTION("""COMPUTED_VALUE"""),"a@gmail.com")</f>
        <v>a@gmail.com</v>
      </c>
      <c r="D69" s="38" t="str">
        <f>IFERROR(__xludf.DUMMYFUNCTION("""COMPUTED_VALUE"""),"T1995021420140401002")</f>
        <v>T1995021420140401002</v>
      </c>
      <c r="E69" s="38">
        <f>IFERROR(__xludf.DUMMYFUNCTION("""COMPUTED_VALUE"""),0)</f>
        <v>0</v>
      </c>
      <c r="F69" s="38" t="str">
        <f>IFERROR(__xludf.DUMMYFUNCTION("""COMPUTED_VALUE"""),"P")</f>
        <v>P</v>
      </c>
      <c r="G69" s="38" t="str">
        <f>IFERROR(__xludf.DUMMYFUNCTION("""COMPUTED_VALUE"""),"TENGGARONG")</f>
        <v>TENGGARONG</v>
      </c>
      <c r="H69" s="39">
        <f>IFERROR(__xludf.DUMMYFUNCTION("""COMPUTED_VALUE"""),36892)</f>
        <v>36892</v>
      </c>
      <c r="I69" s="38">
        <f>IFERROR(__xludf.DUMMYFUNCTION("""COMPUTED_VALUE"""),25)</f>
        <v>25</v>
      </c>
      <c r="J69" s="38" t="str">
        <f>IFERROR(__xludf.DUMMYFUNCTION("""COMPUTED_VALUE"""),"SMK FARMASI")</f>
        <v>SMK FARMASI</v>
      </c>
      <c r="K69" s="38"/>
      <c r="L69" s="38"/>
      <c r="M69" s="38" t="str">
        <f>IFERROR(__xludf.DUMMYFUNCTION("""COMPUTED_VALUE"""),"UMUM")</f>
        <v>UMUM</v>
      </c>
      <c r="N69" s="39">
        <f>IFERROR(__xludf.DUMMYFUNCTION("""COMPUTED_VALUE"""),36892)</f>
        <v>36892</v>
      </c>
      <c r="O69" s="39">
        <f>IFERROR(__xludf.DUMMYFUNCTION("""COMPUTED_VALUE"""),46211.4145195486)</f>
        <v>46211.4145195486</v>
      </c>
      <c r="P69" s="38" t="str">
        <f>IFERROR(__xludf.DUMMYFUNCTION("""COMPUTED_VALUE"""),"25 Tahun6 Bulan")</f>
        <v>25 Tahun6 Bulan</v>
      </c>
      <c r="Q69" s="38"/>
      <c r="R69" s="38" t="str">
        <f>IFERROR(__xludf.DUMMYFUNCTION("""COMPUTED_VALUE"""),"BLUD")</f>
        <v>BLUD</v>
      </c>
      <c r="S69" s="38"/>
      <c r="T69" s="39">
        <f>IFERROR(__xludf.DUMMYFUNCTION("""COMPUTED_VALUE"""),36892)</f>
        <v>36892</v>
      </c>
      <c r="U69" s="38"/>
      <c r="V69" s="38"/>
      <c r="W69" s="38"/>
      <c r="X69" s="39">
        <f>IFERROR(__xludf.DUMMYFUNCTION("""COMPUTED_VALUE"""),36892)</f>
        <v>36892</v>
      </c>
      <c r="Y69" s="39">
        <f>IFERROR(__xludf.DUMMYFUNCTION("""COMPUTED_VALUE"""),46211.4145195833)</f>
        <v>46211.4145195833</v>
      </c>
      <c r="Z69" s="38" t="str">
        <f>IFERROR(__xludf.DUMMYFUNCTION("""COMPUTED_VALUE"""),"#NUM!")</f>
        <v>#NUM!</v>
      </c>
      <c r="AA69" s="38"/>
      <c r="AB69" s="38"/>
      <c r="AC69" s="38"/>
      <c r="AD69" s="38"/>
      <c r="AE69" s="38"/>
      <c r="AF69" s="38"/>
      <c r="AG69" s="38"/>
      <c r="AH69" s="38"/>
      <c r="AI69" s="38" t="str">
        <f>IFERROR(__xludf.DUMMYFUNCTION("""COMPUTED_VALUE"""),"6. RAWAT JALAN")</f>
        <v>6. RAWAT JALAN</v>
      </c>
      <c r="AJ69" s="38"/>
      <c r="AK69" s="38"/>
      <c r="AL69" s="38"/>
      <c r="AM69" s="38"/>
      <c r="AN69" s="38" t="str">
        <f>IFERROR(__xludf.DUMMYFUNCTION("""COMPUTED_VALUE"""),"AKTIF")</f>
        <v>AKTIF</v>
      </c>
    </row>
    <row r="70" ht="12.75" spans="1:40">
      <c r="A70" s="38">
        <f>IFERROR(__xludf.DUMMYFUNCTION("""COMPUTED_VALUE"""),69)</f>
        <v>69</v>
      </c>
      <c r="B70" s="38" t="str">
        <f>IFERROR(__xludf.DUMMYFUNCTION("""COMPUTED_VALUE"""),"Mila Al Jufri, A.Md.Farm")</f>
        <v>Mila Al Jufri, A.Md.Farm</v>
      </c>
      <c r="C70" s="38" t="str">
        <f>IFERROR(__xludf.DUMMYFUNCTION("""COMPUTED_VALUE"""),"a@gmail.com")</f>
        <v>a@gmail.com</v>
      </c>
      <c r="D70" s="38" t="str">
        <f>IFERROR(__xludf.DUMMYFUNCTION("""COMPUTED_VALUE"""),"B200006192024072001")</f>
        <v>B200006192024072001</v>
      </c>
      <c r="E70" s="38"/>
      <c r="F70" s="38" t="str">
        <f>IFERROR(__xludf.DUMMYFUNCTION("""COMPUTED_VALUE"""),"P")</f>
        <v>P</v>
      </c>
      <c r="G70" s="38" t="str">
        <f>IFERROR(__xludf.DUMMYFUNCTION("""COMPUTED_VALUE"""),"SAMARINDA")</f>
        <v>SAMARINDA</v>
      </c>
      <c r="H70" s="39">
        <f>IFERROR(__xludf.DUMMYFUNCTION("""COMPUTED_VALUE"""),36696)</f>
        <v>36696</v>
      </c>
      <c r="I70" s="38">
        <f>IFERROR(__xludf.DUMMYFUNCTION("""COMPUTED_VALUE"""),26)</f>
        <v>26</v>
      </c>
      <c r="J70" s="38" t="str">
        <f>IFERROR(__xludf.DUMMYFUNCTION("""COMPUTED_VALUE"""),"D3 FARMASI")</f>
        <v>D3 FARMASI</v>
      </c>
      <c r="K70" s="38" t="str">
        <f>IFERROR(__xludf.DUMMYFUNCTION("""COMPUTED_VALUE"""),"Jalan Kartini No.03 Rt.18 Tenggarong")</f>
        <v>Jalan Kartini No.03 Rt.18 Tenggarong</v>
      </c>
      <c r="L70" s="38"/>
      <c r="M70" s="38" t="str">
        <f>IFERROR(__xludf.DUMMYFUNCTION("""COMPUTED_VALUE"""),"TTK")</f>
        <v>TTK</v>
      </c>
      <c r="N70" s="39">
        <f>IFERROR(__xludf.DUMMYFUNCTION("""COMPUTED_VALUE"""),45474)</f>
        <v>45474</v>
      </c>
      <c r="O70" s="39">
        <f>IFERROR(__xludf.DUMMYFUNCTION("""COMPUTED_VALUE"""),46211.4145195486)</f>
        <v>46211.4145195486</v>
      </c>
      <c r="P70" s="38" t="str">
        <f>IFERROR(__xludf.DUMMYFUNCTION("""COMPUTED_VALUE"""),"2 Tahun0 Bulan")</f>
        <v>2 Tahun0 Bulan</v>
      </c>
      <c r="Q70" s="38"/>
      <c r="R70" s="38" t="str">
        <f>IFERROR(__xludf.DUMMYFUNCTION("""COMPUTED_VALUE"""),"BLUD")</f>
        <v>BLUD</v>
      </c>
      <c r="S70" s="38"/>
      <c r="T70" s="38"/>
      <c r="U70" s="38"/>
      <c r="V70" s="38"/>
      <c r="W70" s="38"/>
      <c r="X70" s="38"/>
      <c r="Y70" s="39">
        <f>IFERROR(__xludf.DUMMYFUNCTION("""COMPUTED_VALUE"""),46211.4145195833)</f>
        <v>46211.4145195833</v>
      </c>
      <c r="Z70" s="38" t="str">
        <f>IFERROR(__xludf.DUMMYFUNCTION("""COMPUTED_VALUE"""),"#NUM!")</f>
        <v>#NUM!</v>
      </c>
      <c r="AA70" s="38"/>
      <c r="AB70" s="38"/>
      <c r="AC70" s="38"/>
      <c r="AD70" s="38"/>
      <c r="AE70" s="38"/>
      <c r="AF70" s="38"/>
      <c r="AG70" s="38"/>
      <c r="AH70" s="38"/>
      <c r="AI70" s="38" t="str">
        <f>IFERROR(__xludf.DUMMYFUNCTION("""COMPUTED_VALUE"""),"6. RAWAT JALAN")</f>
        <v>6. RAWAT JALAN</v>
      </c>
      <c r="AJ70" s="38"/>
      <c r="AK70" s="38"/>
      <c r="AL70" s="38"/>
      <c r="AM70" s="38"/>
      <c r="AN70" s="38" t="str">
        <f>IFERROR(__xludf.DUMMYFUNCTION("""COMPUTED_VALUE"""),"AKTIF")</f>
        <v>AKTIF</v>
      </c>
    </row>
    <row r="71" ht="12.75" spans="1:40">
      <c r="A71" s="38">
        <f>IFERROR(__xludf.DUMMYFUNCTION("""COMPUTED_VALUE"""),70)</f>
        <v>70</v>
      </c>
      <c r="B71" s="38" t="str">
        <f>IFERROR(__xludf.DUMMYFUNCTION("""COMPUTED_VALUE"""),"Apt.Monalyta Panjaitan, S.Farm")</f>
        <v>Apt.Monalyta Panjaitan, S.Farm</v>
      </c>
      <c r="C71" s="38" t="str">
        <f>IFERROR(__xludf.DUMMYFUNCTION("""COMPUTED_VALUE"""),"a@gmail.com")</f>
        <v>a@gmail.com</v>
      </c>
      <c r="D71" s="38" t="str">
        <f>IFERROR(__xludf.DUMMYFUNCTION("""COMPUTED_VALUE"""),"B199510022024072001")</f>
        <v>B199510022024072001</v>
      </c>
      <c r="E71" s="38">
        <f>IFERROR(__xludf.DUMMYFUNCTION("""COMPUTED_VALUE"""),0)</f>
        <v>0</v>
      </c>
      <c r="F71" s="38" t="str">
        <f>IFERROR(__xludf.DUMMYFUNCTION("""COMPUTED_VALUE"""),"P")</f>
        <v>P</v>
      </c>
      <c r="G71" s="38" t="str">
        <f>IFERROR(__xludf.DUMMYFUNCTION("""COMPUTED_VALUE"""),"TENGGARONG")</f>
        <v>TENGGARONG</v>
      </c>
      <c r="H71" s="39">
        <f>IFERROR(__xludf.DUMMYFUNCTION("""COMPUTED_VALUE"""),34974)</f>
        <v>34974</v>
      </c>
      <c r="I71" s="38">
        <f>IFERROR(__xludf.DUMMYFUNCTION("""COMPUTED_VALUE"""),30)</f>
        <v>30</v>
      </c>
      <c r="J71" s="38" t="str">
        <f>IFERROR(__xludf.DUMMYFUNCTION("""COMPUTED_VALUE"""),"S1 APOTEKER")</f>
        <v>S1 APOTEKER</v>
      </c>
      <c r="K71" s="38" t="str">
        <f>IFERROR(__xludf.DUMMYFUNCTION("""COMPUTED_VALUE"""),"Jl BOUGENVILLE GG.I")</f>
        <v>Jl BOUGENVILLE GG.I</v>
      </c>
      <c r="L71" s="38" t="str">
        <f>IFERROR(__xludf.DUMMYFUNCTION("""COMPUTED_VALUE"""),"Universitas Mulawarman")</f>
        <v>Universitas Mulawarman</v>
      </c>
      <c r="M71" s="38" t="str">
        <f>IFERROR(__xludf.DUMMYFUNCTION("""COMPUTED_VALUE"""),"APOTEKER")</f>
        <v>APOTEKER</v>
      </c>
      <c r="N71" s="39">
        <f>IFERROR(__xludf.DUMMYFUNCTION("""COMPUTED_VALUE"""),45474)</f>
        <v>45474</v>
      </c>
      <c r="O71" s="39">
        <f>IFERROR(__xludf.DUMMYFUNCTION("""COMPUTED_VALUE"""),46211.4145195486)</f>
        <v>46211.4145195486</v>
      </c>
      <c r="P71" s="38" t="str">
        <f>IFERROR(__xludf.DUMMYFUNCTION("""COMPUTED_VALUE"""),"2 Tahun0 Bulan")</f>
        <v>2 Tahun0 Bulan</v>
      </c>
      <c r="Q71" s="38" t="str">
        <f>IFERROR(__xludf.DUMMYFUNCTION("""COMPUTED_VALUE"""),"Apt.Farklin")</f>
        <v>Apt.Farklin</v>
      </c>
      <c r="R71" s="38" t="str">
        <f>IFERROR(__xludf.DUMMYFUNCTION("""COMPUTED_VALUE"""),"BLUD")</f>
        <v>BLUD</v>
      </c>
      <c r="S71" s="38" t="str">
        <f>IFERROR(__xludf.DUMMYFUNCTION("""COMPUTED_VALUE"""),"US00001829492549")</f>
        <v>US00001829492549</v>
      </c>
      <c r="T71" s="39">
        <f>IFERROR(__xludf.DUMMYFUNCTION("""COMPUTED_VALUE"""),45810)</f>
        <v>45810</v>
      </c>
      <c r="U71" s="38"/>
      <c r="V71" s="38"/>
      <c r="W71" s="38" t="str">
        <f>IFERROR(__xludf.DUMMYFUNCTION("""COMPUTED_VALUE"""),"19951002/SIPA 64.03/2025/2/550")</f>
        <v>19951002/SIPA 64.03/2025/2/550</v>
      </c>
      <c r="X71" s="39">
        <f>IFERROR(__xludf.DUMMYFUNCTION("""COMPUTED_VALUE"""),47765)</f>
        <v>47765</v>
      </c>
      <c r="Y71" s="39">
        <f>IFERROR(__xludf.DUMMYFUNCTION("""COMPUTED_VALUE"""),46211.4145195833)</f>
        <v>46211.4145195833</v>
      </c>
      <c r="Z71" s="38" t="str">
        <f>IFERROR(__xludf.DUMMYFUNCTION("""COMPUTED_VALUE"""),"4 Tahun3 Bulan")</f>
        <v>4 Tahun3 Bulan</v>
      </c>
      <c r="AA71" s="38" t="str">
        <f>IFERROR(__xludf.DUMMYFUNCTION("""COMPUTED_VALUE"""),"DATA BASE_Images/76.FOTO.021945.jpg")</f>
        <v>DATA BASE_Images/76.FOTO.021945.jpg</v>
      </c>
      <c r="AB71" s="38"/>
      <c r="AC71" s="38"/>
      <c r="AD71" s="38" t="str">
        <f>IFERROR(__xludf.DUMMYFUNCTION("""COMPUTED_VALUE"""),"DATA BASE_Images/76.FILE STR.021945.jpg")</f>
        <v>DATA BASE_Images/76.FILE STR.021945.jpg</v>
      </c>
      <c r="AE71" s="38"/>
      <c r="AF71" s="38"/>
      <c r="AG71" s="38"/>
      <c r="AH71" s="38"/>
      <c r="AI71" s="38" t="str">
        <f>IFERROR(__xludf.DUMMYFUNCTION("""COMPUTED_VALUE"""),"5. RAWAT INAP")</f>
        <v>5. RAWAT INAP</v>
      </c>
      <c r="AJ71" s="38"/>
      <c r="AK71" s="38"/>
      <c r="AL71" s="38"/>
      <c r="AM71" s="38"/>
      <c r="AN71" s="38" t="str">
        <f>IFERROR(__xludf.DUMMYFUNCTION("""COMPUTED_VALUE"""),"AKTIF")</f>
        <v>AKTIF</v>
      </c>
    </row>
    <row r="72" ht="12.75" spans="1:40">
      <c r="A72" s="38">
        <f>IFERROR(__xludf.DUMMYFUNCTION("""COMPUTED_VALUE"""),71)</f>
        <v>71</v>
      </c>
      <c r="B72" s="38" t="str">
        <f>IFERROR(__xludf.DUMMYFUNCTION("""COMPUTED_VALUE"""),"Apt.Rina Safitri, S.Farm")</f>
        <v>Apt.Rina Safitri, S.Farm</v>
      </c>
      <c r="C72" s="38" t="str">
        <f>IFERROR(__xludf.DUMMYFUNCTION("""COMPUTED_VALUE"""),"a@gmail.com")</f>
        <v>a@gmail.com</v>
      </c>
      <c r="D72" s="38" t="str">
        <f>IFERROR(__xludf.DUMMYFUNCTION("""COMPUTED_VALUE"""),"B199710252024092001")</f>
        <v>B199710252024092001</v>
      </c>
      <c r="E72" s="38">
        <f>IFERROR(__xludf.DUMMYFUNCTION("""COMPUTED_VALUE"""),0)</f>
        <v>0</v>
      </c>
      <c r="F72" s="38" t="str">
        <f>IFERROR(__xludf.DUMMYFUNCTION("""COMPUTED_VALUE"""),"P")</f>
        <v>P</v>
      </c>
      <c r="G72" s="38" t="str">
        <f>IFERROR(__xludf.DUMMYFUNCTION("""COMPUTED_VALUE"""),"TENGGARONG")</f>
        <v>TENGGARONG</v>
      </c>
      <c r="H72" s="39">
        <f>IFERROR(__xludf.DUMMYFUNCTION("""COMPUTED_VALUE"""),35728)</f>
        <v>35728</v>
      </c>
      <c r="I72" s="38">
        <f>IFERROR(__xludf.DUMMYFUNCTION("""COMPUTED_VALUE"""),28)</f>
        <v>28</v>
      </c>
      <c r="J72" s="38" t="str">
        <f>IFERROR(__xludf.DUMMYFUNCTION("""COMPUTED_VALUE"""),"S1 APOTEKER")</f>
        <v>S1 APOTEKER</v>
      </c>
      <c r="K72" s="38" t="str">
        <f>IFERROR(__xludf.DUMMYFUNCTION("""COMPUTED_VALUE"""),"Jl. Triyu 2 RT.42 Kel. Loa Ipuh Kec. Tenggarong")</f>
        <v>Jl. Triyu 2 RT.42 Kel. Loa Ipuh Kec. Tenggarong</v>
      </c>
      <c r="L72" s="38" t="str">
        <f>IFERROR(__xludf.DUMMYFUNCTION("""COMPUTED_VALUE"""),"UNIVERSITAS SETIA BUDI SURAKARTA")</f>
        <v>UNIVERSITAS SETIA BUDI SURAKARTA</v>
      </c>
      <c r="M72" s="38" t="str">
        <f>IFERROR(__xludf.DUMMYFUNCTION("""COMPUTED_VALUE"""),"APOTEKER")</f>
        <v>APOTEKER</v>
      </c>
      <c r="N72" s="39">
        <f>IFERROR(__xludf.DUMMYFUNCTION("""COMPUTED_VALUE"""),36892)</f>
        <v>36892</v>
      </c>
      <c r="O72" s="39">
        <f>IFERROR(__xludf.DUMMYFUNCTION("""COMPUTED_VALUE"""),46211.4145195486)</f>
        <v>46211.4145195486</v>
      </c>
      <c r="P72" s="38" t="str">
        <f>IFERROR(__xludf.DUMMYFUNCTION("""COMPUTED_VALUE"""),"25 Tahun6 Bulan")</f>
        <v>25 Tahun6 Bulan</v>
      </c>
      <c r="Q72" s="38"/>
      <c r="R72" s="38" t="str">
        <f>IFERROR(__xludf.DUMMYFUNCTION("""COMPUTED_VALUE"""),"BLUD")</f>
        <v>BLUD</v>
      </c>
      <c r="S72" s="38" t="str">
        <f>IFERROR(__xludf.DUMMYFUNCTION("""COMPUTED_VALUE"""),"LO00001344666991")</f>
        <v>LO00001344666991</v>
      </c>
      <c r="T72" s="39">
        <f>IFERROR(__xludf.DUMMYFUNCTION("""COMPUTED_VALUE"""),36892)</f>
        <v>36892</v>
      </c>
      <c r="U72" s="38"/>
      <c r="V72" s="38"/>
      <c r="W72" s="38" t="str">
        <f>IFERROR(__xludf.DUMMYFUNCTION("""COMPUTED_VALUE"""),"19971025/SIPA 64.03/2/455")</f>
        <v>19971025/SIPA 64.03/2/455</v>
      </c>
      <c r="X72" s="39">
        <f>IFERROR(__xludf.DUMMYFUNCTION("""COMPUTED_VALUE"""),47475)</f>
        <v>47475</v>
      </c>
      <c r="Y72" s="39">
        <f>IFERROR(__xludf.DUMMYFUNCTION("""COMPUTED_VALUE"""),46211.4145195833)</f>
        <v>46211.4145195833</v>
      </c>
      <c r="Z72" s="38" t="str">
        <f>IFERROR(__xludf.DUMMYFUNCTION("""COMPUTED_VALUE"""),"3 Tahun5 Bulan")</f>
        <v>3 Tahun5 Bulan</v>
      </c>
      <c r="AA72" s="38"/>
      <c r="AB72" s="38"/>
      <c r="AC72" s="38"/>
      <c r="AD72" s="38"/>
      <c r="AE72" s="38"/>
      <c r="AF72" s="38"/>
      <c r="AG72" s="38"/>
      <c r="AH72" s="38"/>
      <c r="AI72" s="38" t="str">
        <f>IFERROR(__xludf.DUMMYFUNCTION("""COMPUTED_VALUE"""),"6. RAWAT JALAN")</f>
        <v>6. RAWAT JALAN</v>
      </c>
      <c r="AJ72" s="38"/>
      <c r="AK72" s="38"/>
      <c r="AL72" s="38"/>
      <c r="AM72" s="38"/>
      <c r="AN72" s="38" t="str">
        <f>IFERROR(__xludf.DUMMYFUNCTION("""COMPUTED_VALUE"""),"AKTIF")</f>
        <v>AKTIF</v>
      </c>
    </row>
    <row r="73" ht="12.75" spans="1:40">
      <c r="A73" s="38">
        <f>IFERROR(__xludf.DUMMYFUNCTION("""COMPUTED_VALUE"""),72)</f>
        <v>72</v>
      </c>
      <c r="B73" s="38" t="str">
        <f>IFERROR(__xludf.DUMMYFUNCTION("""COMPUTED_VALUE"""),"Febrianto, A.Md.Farm")</f>
        <v>Febrianto, A.Md.Farm</v>
      </c>
      <c r="C73" s="38" t="str">
        <f>IFERROR(__xludf.DUMMYFUNCTION("""COMPUTED_VALUE"""),"a@gmail.com")</f>
        <v>a@gmail.com</v>
      </c>
      <c r="D73" s="38" t="str">
        <f>IFERROR(__xludf.DUMMYFUNCTION("""COMPUTED_VALUE"""),"B200102242024091001")</f>
        <v>B200102242024091001</v>
      </c>
      <c r="E73" s="38">
        <f>IFERROR(__xludf.DUMMYFUNCTION("""COMPUTED_VALUE"""),0)</f>
        <v>0</v>
      </c>
      <c r="F73" s="38" t="str">
        <f>IFERROR(__xludf.DUMMYFUNCTION("""COMPUTED_VALUE"""),"L")</f>
        <v>L</v>
      </c>
      <c r="G73" s="38" t="str">
        <f>IFERROR(__xludf.DUMMYFUNCTION("""COMPUTED_VALUE"""),"SAMARINDA")</f>
        <v>SAMARINDA</v>
      </c>
      <c r="H73" s="39">
        <f>IFERROR(__xludf.DUMMYFUNCTION("""COMPUTED_VALUE"""),36946)</f>
        <v>36946</v>
      </c>
      <c r="I73" s="38">
        <f>IFERROR(__xludf.DUMMYFUNCTION("""COMPUTED_VALUE"""),25)</f>
        <v>25</v>
      </c>
      <c r="J73" s="38" t="str">
        <f>IFERROR(__xludf.DUMMYFUNCTION("""COMPUTED_VALUE"""),"D3 FARMASI")</f>
        <v>D3 FARMASI</v>
      </c>
      <c r="K73" s="38" t="str">
        <f>IFERROR(__xludf.DUMMYFUNCTION("""COMPUTED_VALUE"""),"Jl. Pasundan Gg. 2C Rt. 37")</f>
        <v>Jl. Pasundan Gg. 2C Rt. 37</v>
      </c>
      <c r="L73" s="38" t="str">
        <f>IFERROR(__xludf.DUMMYFUNCTION("""COMPUTED_VALUE"""),"Sekolah Tinggi Ilmu Kesehatan Samarinda")</f>
        <v>Sekolah Tinggi Ilmu Kesehatan Samarinda</v>
      </c>
      <c r="M73" s="38" t="str">
        <f>IFERROR(__xludf.DUMMYFUNCTION("""COMPUTED_VALUE"""),"TTK")</f>
        <v>TTK</v>
      </c>
      <c r="N73" s="39">
        <f>IFERROR(__xludf.DUMMYFUNCTION("""COMPUTED_VALUE"""),45536)</f>
        <v>45536</v>
      </c>
      <c r="O73" s="39">
        <f>IFERROR(__xludf.DUMMYFUNCTION("""COMPUTED_VALUE"""),46211.4145195486)</f>
        <v>46211.4145195486</v>
      </c>
      <c r="P73" s="38" t="str">
        <f>IFERROR(__xludf.DUMMYFUNCTION("""COMPUTED_VALUE"""),"1 Tahun10 Bulan")</f>
        <v>1 Tahun10 Bulan</v>
      </c>
      <c r="Q73" s="38" t="str">
        <f>IFERROR(__xludf.DUMMYFUNCTION("""COMPUTED_VALUE"""),"Staff IGD &amp; Ibs")</f>
        <v>Staff IGD &amp; Ibs</v>
      </c>
      <c r="R73" s="38" t="str">
        <f>IFERROR(__xludf.DUMMYFUNCTION("""COMPUTED_VALUE"""),"BLUD")</f>
        <v>BLUD</v>
      </c>
      <c r="S73" s="38" t="str">
        <f>IFERROR(__xludf.DUMMYFUNCTION("""COMPUTED_VALUE"""),"YV00000996088041")</f>
        <v>YV00000996088041</v>
      </c>
      <c r="T73" s="40">
        <f>IFERROR(__xludf.DUMMYFUNCTION("""COMPUTED_VALUE"""),49600)</f>
        <v>49600</v>
      </c>
      <c r="U73" s="38"/>
      <c r="V73" s="38"/>
      <c r="W73" s="38"/>
      <c r="X73" s="39">
        <f>IFERROR(__xludf.DUMMYFUNCTION("""COMPUTED_VALUE"""),37143)</f>
        <v>37143</v>
      </c>
      <c r="Y73" s="39">
        <f>IFERROR(__xludf.DUMMYFUNCTION("""COMPUTED_VALUE"""),46211.4145195833)</f>
        <v>46211.4145195833</v>
      </c>
      <c r="Z73" s="38" t="str">
        <f>IFERROR(__xludf.DUMMYFUNCTION("""COMPUTED_VALUE"""),"#NUM!")</f>
        <v>#NUM!</v>
      </c>
      <c r="AA73" s="38" t="str">
        <f>IFERROR(__xludf.DUMMYFUNCTION("""COMPUTED_VALUE"""),"DATA BASE_Images/79.FOTO.021319.jpg")</f>
        <v>DATA BASE_Images/79.FOTO.021319.jpg</v>
      </c>
      <c r="AB73" s="38"/>
      <c r="AC73" s="38"/>
      <c r="AD73" s="38" t="str">
        <f>IFERROR(__xludf.DUMMYFUNCTION("""COMPUTED_VALUE"""),"DATA BASE_Files_/79.FILE STR.021319.pdf")</f>
        <v>DATA BASE_Files_/79.FILE STR.021319.pdf</v>
      </c>
      <c r="AE73" s="38"/>
      <c r="AF73" s="38"/>
      <c r="AG73" s="38"/>
      <c r="AH73" s="38"/>
      <c r="AI73" s="38" t="str">
        <f>IFERROR(__xludf.DUMMYFUNCTION("""COMPUTED_VALUE"""),"3. IGD,IBS &amp;CATHLAB")</f>
        <v>3. IGD,IBS &amp;CATHLAB</v>
      </c>
      <c r="AJ73" s="38"/>
      <c r="AK73" s="38"/>
      <c r="AL73" s="38"/>
      <c r="AM73" s="38"/>
      <c r="AN73" s="38" t="str">
        <f>IFERROR(__xludf.DUMMYFUNCTION("""COMPUTED_VALUE"""),"AKTIF")</f>
        <v>AKTIF</v>
      </c>
    </row>
    <row r="74" ht="12.75" spans="1:40">
      <c r="A74" s="38">
        <f>IFERROR(__xludf.DUMMYFUNCTION("""COMPUTED_VALUE"""),73)</f>
        <v>73</v>
      </c>
      <c r="B74" s="38" t="str">
        <f>IFERROR(__xludf.DUMMYFUNCTION("""COMPUTED_VALUE"""),"Zahratun Nisa, A.Md.farm")</f>
        <v>Zahratun Nisa, A.Md.farm</v>
      </c>
      <c r="C74" s="38" t="str">
        <f>IFERROR(__xludf.DUMMYFUNCTION("""COMPUTED_VALUE"""),"a@gmail.com")</f>
        <v>a@gmail.com</v>
      </c>
      <c r="D74" s="38" t="str">
        <f>IFERROR(__xludf.DUMMYFUNCTION("""COMPUTED_VALUE"""),"B199907152024092001")</f>
        <v>B199907152024092001</v>
      </c>
      <c r="E74" s="38">
        <f>IFERROR(__xludf.DUMMYFUNCTION("""COMPUTED_VALUE"""),0)</f>
        <v>0</v>
      </c>
      <c r="F74" s="38" t="str">
        <f>IFERROR(__xludf.DUMMYFUNCTION("""COMPUTED_VALUE"""),"P")</f>
        <v>P</v>
      </c>
      <c r="G74" s="38" t="str">
        <f>IFERROR(__xludf.DUMMYFUNCTION("""COMPUTED_VALUE"""),"Tenggarong")</f>
        <v>Tenggarong</v>
      </c>
      <c r="H74" s="39">
        <f>IFERROR(__xludf.DUMMYFUNCTION("""COMPUTED_VALUE"""),36356)</f>
        <v>36356</v>
      </c>
      <c r="I74" s="38">
        <f>IFERROR(__xludf.DUMMYFUNCTION("""COMPUTED_VALUE"""),27)</f>
        <v>27</v>
      </c>
      <c r="J74" s="38" t="str">
        <f>IFERROR(__xludf.DUMMYFUNCTION("""COMPUTED_VALUE"""),"D3 FARMASI")</f>
        <v>D3 FARMASI</v>
      </c>
      <c r="K74" s="38" t="str">
        <f>IFERROR(__xludf.DUMMYFUNCTION("""COMPUTED_VALUE"""),"Jl. AM. Sangaji")</f>
        <v>Jl. AM. Sangaji</v>
      </c>
      <c r="L74" s="38"/>
      <c r="M74" s="38" t="str">
        <f>IFERROR(__xludf.DUMMYFUNCTION("""COMPUTED_VALUE"""),"TTK")</f>
        <v>TTK</v>
      </c>
      <c r="N74" s="39">
        <f>IFERROR(__xludf.DUMMYFUNCTION("""COMPUTED_VALUE"""),36892)</f>
        <v>36892</v>
      </c>
      <c r="O74" s="39">
        <f>IFERROR(__xludf.DUMMYFUNCTION("""COMPUTED_VALUE"""),46211.4145195486)</f>
        <v>46211.4145195486</v>
      </c>
      <c r="P74" s="38" t="str">
        <f>IFERROR(__xludf.DUMMYFUNCTION("""COMPUTED_VALUE"""),"25 Tahun6 Bulan")</f>
        <v>25 Tahun6 Bulan</v>
      </c>
      <c r="Q74" s="38"/>
      <c r="R74" s="38" t="str">
        <f>IFERROR(__xludf.DUMMYFUNCTION("""COMPUTED_VALUE"""),"BLUD")</f>
        <v>BLUD</v>
      </c>
      <c r="S74" s="38"/>
      <c r="T74" s="39">
        <f>IFERROR(__xludf.DUMMYFUNCTION("""COMPUTED_VALUE"""),36892)</f>
        <v>36892</v>
      </c>
      <c r="U74" s="38"/>
      <c r="V74" s="38"/>
      <c r="W74" s="38"/>
      <c r="X74" s="39">
        <f>IFERROR(__xludf.DUMMYFUNCTION("""COMPUTED_VALUE"""),36892)</f>
        <v>36892</v>
      </c>
      <c r="Y74" s="39">
        <f>IFERROR(__xludf.DUMMYFUNCTION("""COMPUTED_VALUE"""),46211.4145195833)</f>
        <v>46211.4145195833</v>
      </c>
      <c r="Z74" s="38" t="str">
        <f>IFERROR(__xludf.DUMMYFUNCTION("""COMPUTED_VALUE"""),"#NUM!")</f>
        <v>#NUM!</v>
      </c>
      <c r="AA74" s="38" t="str">
        <f>IFERROR(__xludf.DUMMYFUNCTION("""COMPUTED_VALUE"""),"DATA BASE_Images/80.FOTO.061848.jpg")</f>
        <v>DATA BASE_Images/80.FOTO.061848.jpg</v>
      </c>
      <c r="AB74" s="38"/>
      <c r="AC74" s="38"/>
      <c r="AD74" s="38"/>
      <c r="AE74" s="38"/>
      <c r="AF74" s="38"/>
      <c r="AG74" s="38"/>
      <c r="AH74" s="38"/>
      <c r="AI74" s="38" t="str">
        <f>IFERROR(__xludf.DUMMYFUNCTION("""COMPUTED_VALUE"""),"3. IGD,IBS &amp;CATHLAB")</f>
        <v>3. IGD,IBS &amp;CATHLAB</v>
      </c>
      <c r="AJ74" s="38"/>
      <c r="AK74" s="38"/>
      <c r="AL74" s="38"/>
      <c r="AM74" s="38"/>
      <c r="AN74" s="38" t="str">
        <f>IFERROR(__xludf.DUMMYFUNCTION("""COMPUTED_VALUE"""),"AKTIF")</f>
        <v>AKTIF</v>
      </c>
    </row>
    <row r="75" ht="12.75" spans="1:40">
      <c r="A75" s="38">
        <f>IFERROR(__xludf.DUMMYFUNCTION("""COMPUTED_VALUE"""),74)</f>
        <v>74</v>
      </c>
      <c r="B75" s="38" t="str">
        <f>IFERROR(__xludf.DUMMYFUNCTION("""COMPUTED_VALUE"""),"Riza Vina, A. Md.Farm")</f>
        <v>Riza Vina, A. Md.Farm</v>
      </c>
      <c r="C75" s="38" t="str">
        <f>IFERROR(__xludf.DUMMYFUNCTION("""COMPUTED_VALUE"""),"a@gmail.com")</f>
        <v>a@gmail.com</v>
      </c>
      <c r="D75" s="38" t="str">
        <f>IFERROR(__xludf.DUMMYFUNCTION("""COMPUTED_VALUE"""),"B199808162024092001")</f>
        <v>B199808162024092001</v>
      </c>
      <c r="E75" s="38">
        <f>IFERROR(__xludf.DUMMYFUNCTION("""COMPUTED_VALUE"""),0)</f>
        <v>0</v>
      </c>
      <c r="F75" s="38" t="str">
        <f>IFERROR(__xludf.DUMMYFUNCTION("""COMPUTED_VALUE"""),"P")</f>
        <v>P</v>
      </c>
      <c r="G75" s="38" t="str">
        <f>IFERROR(__xludf.DUMMYFUNCTION("""COMPUTED_VALUE"""),"TENGGARONG")</f>
        <v>TENGGARONG</v>
      </c>
      <c r="H75" s="39">
        <f>IFERROR(__xludf.DUMMYFUNCTION("""COMPUTED_VALUE"""),36023)</f>
        <v>36023</v>
      </c>
      <c r="I75" s="38">
        <f>IFERROR(__xludf.DUMMYFUNCTION("""COMPUTED_VALUE"""),27)</f>
        <v>27</v>
      </c>
      <c r="J75" s="38" t="str">
        <f>IFERROR(__xludf.DUMMYFUNCTION("""COMPUTED_VALUE"""),"D3 FARMASI")</f>
        <v>D3 FARMASI</v>
      </c>
      <c r="K75" s="38" t="str">
        <f>IFERROR(__xludf.DUMMYFUNCTION("""COMPUTED_VALUE"""),"Jl. AM. Sangaji Gang 9 Rt. 8 No. 93 Kel. Baru, Tenggarong")</f>
        <v>Jl. AM. Sangaji Gang 9 Rt. 8 No. 93 Kel. Baru, Tenggarong</v>
      </c>
      <c r="L75" s="38" t="str">
        <f>IFERROR(__xludf.DUMMYFUNCTION("""COMPUTED_VALUE"""),"Sekolah Tinggi Ilmu Kesehatan Samarinda")</f>
        <v>Sekolah Tinggi Ilmu Kesehatan Samarinda</v>
      </c>
      <c r="M75" s="38" t="str">
        <f>IFERROR(__xludf.DUMMYFUNCTION("""COMPUTED_VALUE"""),"TTK")</f>
        <v>TTK</v>
      </c>
      <c r="N75" s="39">
        <f>IFERROR(__xludf.DUMMYFUNCTION("""COMPUTED_VALUE"""),45537)</f>
        <v>45537</v>
      </c>
      <c r="O75" s="39">
        <f>IFERROR(__xludf.DUMMYFUNCTION("""COMPUTED_VALUE"""),46211.4145195486)</f>
        <v>46211.4145195486</v>
      </c>
      <c r="P75" s="38" t="str">
        <f>IFERROR(__xludf.DUMMYFUNCTION("""COMPUTED_VALUE"""),"1 Tahun10 Bulan")</f>
        <v>1 Tahun10 Bulan</v>
      </c>
      <c r="Q75" s="38" t="str">
        <f>IFERROR(__xludf.DUMMYFUNCTION("""COMPUTED_VALUE"""),"Koor.Rawat inap")</f>
        <v>Koor.Rawat inap</v>
      </c>
      <c r="R75" s="38" t="str">
        <f>IFERROR(__xludf.DUMMYFUNCTION("""COMPUTED_VALUE"""),"BLUD")</f>
        <v>BLUD</v>
      </c>
      <c r="S75" s="38" t="str">
        <f>IFERROR(__xludf.DUMMYFUNCTION("""COMPUTED_VALUE"""),"KM00001181431938")</f>
        <v>KM00001181431938</v>
      </c>
      <c r="T75" s="39">
        <f>IFERROR(__xludf.DUMMYFUNCTION("""COMPUTED_VALUE"""),47698)</f>
        <v>47698</v>
      </c>
      <c r="U75" s="38"/>
      <c r="V75" s="38"/>
      <c r="W75" s="38"/>
      <c r="X75" s="39">
        <f>IFERROR(__xludf.DUMMYFUNCTION("""COMPUTED_VALUE"""),36892)</f>
        <v>36892</v>
      </c>
      <c r="Y75" s="39">
        <f>IFERROR(__xludf.DUMMYFUNCTION("""COMPUTED_VALUE"""),46211.4145195833)</f>
        <v>46211.4145195833</v>
      </c>
      <c r="Z75" s="38" t="str">
        <f>IFERROR(__xludf.DUMMYFUNCTION("""COMPUTED_VALUE"""),"#NUM!")</f>
        <v>#NUM!</v>
      </c>
      <c r="AA75" s="38" t="str">
        <f>IFERROR(__xludf.DUMMYFUNCTION("""COMPUTED_VALUE"""),"DATA BASE_Images/81.FOTO.023437.jpg")</f>
        <v>DATA BASE_Images/81.FOTO.023437.jpg</v>
      </c>
      <c r="AB75" s="38"/>
      <c r="AC75" s="38"/>
      <c r="AD75" s="38" t="str">
        <f>IFERROR(__xludf.DUMMYFUNCTION("""COMPUTED_VALUE"""),"DATA BASE_Files_/81.FILE STR.023437.pdf")</f>
        <v>DATA BASE_Files_/81.FILE STR.023437.pdf</v>
      </c>
      <c r="AE75" s="38"/>
      <c r="AF75" s="38"/>
      <c r="AG75" s="38"/>
      <c r="AH75" s="38"/>
      <c r="AI75" s="38" t="str">
        <f>IFERROR(__xludf.DUMMYFUNCTION("""COMPUTED_VALUE"""),"5. RAWAT INAP")</f>
        <v>5. RAWAT INAP</v>
      </c>
      <c r="AJ75" s="38"/>
      <c r="AK75" s="38"/>
      <c r="AL75" s="38"/>
      <c r="AM75" s="38"/>
      <c r="AN75" s="38" t="str">
        <f>IFERROR(__xludf.DUMMYFUNCTION("""COMPUTED_VALUE"""),"AKTIF")</f>
        <v>AKTIF</v>
      </c>
    </row>
    <row r="76" ht="12.75" spans="1:40">
      <c r="A76" s="38">
        <f>IFERROR(__xludf.DUMMYFUNCTION("""COMPUTED_VALUE"""),75)</f>
        <v>75</v>
      </c>
      <c r="B76" s="38" t="str">
        <f>IFERROR(__xludf.DUMMYFUNCTION("""COMPUTED_VALUE"""),"Imroatul Widya Ningrat, A.Md.Farm")</f>
        <v>Imroatul Widya Ningrat, A.Md.Farm</v>
      </c>
      <c r="C76" s="38" t="str">
        <f>IFERROR(__xludf.DUMMYFUNCTION("""COMPUTED_VALUE"""),"a@gmail.com")</f>
        <v>a@gmail.com</v>
      </c>
      <c r="D76" s="38" t="str">
        <f>IFERROR(__xludf.DUMMYFUNCTION("""COMPUTED_VALUE"""),"B199701092024092001")</f>
        <v>B199701092024092001</v>
      </c>
      <c r="E76" s="38"/>
      <c r="F76" s="38" t="str">
        <f>IFERROR(__xludf.DUMMYFUNCTION("""COMPUTED_VALUE"""),"P")</f>
        <v>P</v>
      </c>
      <c r="G76" s="38" t="str">
        <f>IFERROR(__xludf.DUMMYFUNCTION("""COMPUTED_VALUE"""),"Madiun")</f>
        <v>Madiun</v>
      </c>
      <c r="H76" s="39">
        <f>IFERROR(__xludf.DUMMYFUNCTION("""COMPUTED_VALUE"""),35439)</f>
        <v>35439</v>
      </c>
      <c r="I76" s="38">
        <f>IFERROR(__xludf.DUMMYFUNCTION("""COMPUTED_VALUE"""),29)</f>
        <v>29</v>
      </c>
      <c r="J76" s="38" t="str">
        <f>IFERROR(__xludf.DUMMYFUNCTION("""COMPUTED_VALUE"""),"D3 FARMASI")</f>
        <v>D3 FARMASI</v>
      </c>
      <c r="K76" s="38" t="str">
        <f>IFERROR(__xludf.DUMMYFUNCTION("""COMPUTED_VALUE"""),"Jl. Datar Asam VII gg Dhilut Loa Duri Ilir")</f>
        <v>Jl. Datar Asam VII gg Dhilut Loa Duri Ilir</v>
      </c>
      <c r="L76" s="38"/>
      <c r="M76" s="38" t="str">
        <f>IFERROR(__xludf.DUMMYFUNCTION("""COMPUTED_VALUE"""),"TTK")</f>
        <v>TTK</v>
      </c>
      <c r="N76" s="39">
        <f>IFERROR(__xludf.DUMMYFUNCTION("""COMPUTED_VALUE"""),45537)</f>
        <v>45537</v>
      </c>
      <c r="O76" s="39">
        <f>IFERROR(__xludf.DUMMYFUNCTION("""COMPUTED_VALUE"""),46211.4145195486)</f>
        <v>46211.4145195486</v>
      </c>
      <c r="P76" s="38" t="str">
        <f>IFERROR(__xludf.DUMMYFUNCTION("""COMPUTED_VALUE"""),"1 Tahun10 Bulan")</f>
        <v>1 Tahun10 Bulan</v>
      </c>
      <c r="Q76" s="38"/>
      <c r="R76" s="38" t="str">
        <f>IFERROR(__xludf.DUMMYFUNCTION("""COMPUTED_VALUE"""),"BLUD")</f>
        <v>BLUD</v>
      </c>
      <c r="S76" s="38"/>
      <c r="T76" s="38"/>
      <c r="U76" s="38"/>
      <c r="V76" s="38"/>
      <c r="W76" s="38"/>
      <c r="X76" s="38"/>
      <c r="Y76" s="39">
        <f>IFERROR(__xludf.DUMMYFUNCTION("""COMPUTED_VALUE"""),46211.4145195833)</f>
        <v>46211.4145195833</v>
      </c>
      <c r="Z76" s="38" t="str">
        <f>IFERROR(__xludf.DUMMYFUNCTION("""COMPUTED_VALUE"""),"#NUM!")</f>
        <v>#NUM!</v>
      </c>
      <c r="AA76" s="38"/>
      <c r="AB76" s="38"/>
      <c r="AC76" s="38"/>
      <c r="AD76" s="38"/>
      <c r="AE76" s="38"/>
      <c r="AF76" s="38"/>
      <c r="AG76" s="38"/>
      <c r="AH76" s="38"/>
      <c r="AI76" s="38" t="str">
        <f>IFERROR(__xludf.DUMMYFUNCTION("""COMPUTED_VALUE"""),"3. IGD,IBS &amp;CATHLAB")</f>
        <v>3. IGD,IBS &amp;CATHLAB</v>
      </c>
      <c r="AJ76" s="38"/>
      <c r="AK76" s="38"/>
      <c r="AL76" s="38"/>
      <c r="AM76" s="38"/>
      <c r="AN76" s="38" t="str">
        <f>IFERROR(__xludf.DUMMYFUNCTION("""COMPUTED_VALUE"""),"AKTIF")</f>
        <v>AKTIF</v>
      </c>
    </row>
    <row r="77" ht="12.75" spans="1:40">
      <c r="A77" s="38">
        <f>IFERROR(__xludf.DUMMYFUNCTION("""COMPUTED_VALUE"""),76)</f>
        <v>76</v>
      </c>
      <c r="B77" s="38" t="str">
        <f>IFERROR(__xludf.DUMMYFUNCTION("""COMPUTED_VALUE"""),"Eko Hadi Noersyamsih, A.Md.Farm")</f>
        <v>Eko Hadi Noersyamsih, A.Md.Farm</v>
      </c>
      <c r="C77" s="38" t="str">
        <f>IFERROR(__xludf.DUMMYFUNCTION("""COMPUTED_VALUE"""),"a@gmail.com")</f>
        <v>a@gmail.com</v>
      </c>
      <c r="D77" s="38" t="str">
        <f>IFERROR(__xludf.DUMMYFUNCTION("""COMPUTED_VALUE"""),"B199511262024091001")</f>
        <v>B199511262024091001</v>
      </c>
      <c r="E77" s="38"/>
      <c r="F77" s="38" t="str">
        <f>IFERROR(__xludf.DUMMYFUNCTION("""COMPUTED_VALUE"""),"L")</f>
        <v>L</v>
      </c>
      <c r="G77" s="38" t="str">
        <f>IFERROR(__xludf.DUMMYFUNCTION("""COMPUTED_VALUE"""),"Samarinda")</f>
        <v>Samarinda</v>
      </c>
      <c r="H77" s="39">
        <f>IFERROR(__xludf.DUMMYFUNCTION("""COMPUTED_VALUE"""),35029)</f>
        <v>35029</v>
      </c>
      <c r="I77" s="38">
        <f>IFERROR(__xludf.DUMMYFUNCTION("""COMPUTED_VALUE"""),30)</f>
        <v>30</v>
      </c>
      <c r="J77" s="38" t="str">
        <f>IFERROR(__xludf.DUMMYFUNCTION("""COMPUTED_VALUE"""),"D3 FARMASI")</f>
        <v>D3 FARMASI</v>
      </c>
      <c r="K77" s="38" t="str">
        <f>IFERROR(__xludf.DUMMYFUNCTION("""COMPUTED_VALUE"""),"P. Suryanata KOMP Puspita Bukit Pinang")</f>
        <v>P. Suryanata KOMP Puspita Bukit Pinang</v>
      </c>
      <c r="L77" s="38"/>
      <c r="M77" s="38" t="str">
        <f>IFERROR(__xludf.DUMMYFUNCTION("""COMPUTED_VALUE"""),"TTK")</f>
        <v>TTK</v>
      </c>
      <c r="N77" s="39">
        <f>IFERROR(__xludf.DUMMYFUNCTION("""COMPUTED_VALUE"""),45536)</f>
        <v>45536</v>
      </c>
      <c r="O77" s="39">
        <f>IFERROR(__xludf.DUMMYFUNCTION("""COMPUTED_VALUE"""),46211.4145195601)</f>
        <v>46211.4145195601</v>
      </c>
      <c r="P77" s="38" t="str">
        <f>IFERROR(__xludf.DUMMYFUNCTION("""COMPUTED_VALUE"""),"1 Tahun10 Bulan")</f>
        <v>1 Tahun10 Bulan</v>
      </c>
      <c r="Q77" s="38"/>
      <c r="R77" s="38" t="str">
        <f>IFERROR(__xludf.DUMMYFUNCTION("""COMPUTED_VALUE"""),"BLUD")</f>
        <v>BLUD</v>
      </c>
      <c r="S77" s="38"/>
      <c r="T77" s="38"/>
      <c r="U77" s="38"/>
      <c r="V77" s="38"/>
      <c r="W77" s="38"/>
      <c r="X77" s="38"/>
      <c r="Y77" s="39">
        <f>IFERROR(__xludf.DUMMYFUNCTION("""COMPUTED_VALUE"""),46211.4145195833)</f>
        <v>46211.4145195833</v>
      </c>
      <c r="Z77" s="38" t="str">
        <f>IFERROR(__xludf.DUMMYFUNCTION("""COMPUTED_VALUE"""),"#NUM!")</f>
        <v>#NUM!</v>
      </c>
      <c r="AA77" s="38"/>
      <c r="AB77" s="38"/>
      <c r="AC77" s="38"/>
      <c r="AD77" s="38"/>
      <c r="AE77" s="38"/>
      <c r="AF77" s="38"/>
      <c r="AG77" s="38"/>
      <c r="AH77" s="38"/>
      <c r="AI77" s="38" t="str">
        <f>IFERROR(__xludf.DUMMYFUNCTION("""COMPUTED_VALUE"""),"6. RAWAT JALAN")</f>
        <v>6. RAWAT JALAN</v>
      </c>
      <c r="AJ77" s="38"/>
      <c r="AK77" s="38"/>
      <c r="AL77" s="38"/>
      <c r="AM77" s="38"/>
      <c r="AN77" s="38" t="str">
        <f>IFERROR(__xludf.DUMMYFUNCTION("""COMPUTED_VALUE"""),"AKTIF")</f>
        <v>AKTIF</v>
      </c>
    </row>
    <row r="78" ht="12.75" spans="1:40">
      <c r="A78" s="38">
        <f>IFERROR(__xludf.DUMMYFUNCTION("""COMPUTED_VALUE"""),77)</f>
        <v>77</v>
      </c>
      <c r="B78" s="38" t="str">
        <f>IFERROR(__xludf.DUMMYFUNCTION("""COMPUTED_VALUE"""),"Dewi Rachmasuari, A.Md.Farm")</f>
        <v>Dewi Rachmasuari, A.Md.Farm</v>
      </c>
      <c r="C78" s="38" t="str">
        <f>IFERROR(__xludf.DUMMYFUNCTION("""COMPUTED_VALUE"""),"a@gmail.com")</f>
        <v>a@gmail.com</v>
      </c>
      <c r="D78" s="38" t="str">
        <f>IFERROR(__xludf.DUMMYFUNCTION("""COMPUTED_VALUE"""),"B199712312024092001")</f>
        <v>B199712312024092001</v>
      </c>
      <c r="E78" s="38"/>
      <c r="F78" s="38" t="str">
        <f>IFERROR(__xludf.DUMMYFUNCTION("""COMPUTED_VALUE"""),"P")</f>
        <v>P</v>
      </c>
      <c r="G78" s="38" t="str">
        <f>IFERROR(__xludf.DUMMYFUNCTION("""COMPUTED_VALUE"""),"Samarinda")</f>
        <v>Samarinda</v>
      </c>
      <c r="H78" s="39">
        <f>IFERROR(__xludf.DUMMYFUNCTION("""COMPUTED_VALUE"""),35795)</f>
        <v>35795</v>
      </c>
      <c r="I78" s="38">
        <f>IFERROR(__xludf.DUMMYFUNCTION("""COMPUTED_VALUE"""),28)</f>
        <v>28</v>
      </c>
      <c r="J78" s="38" t="str">
        <f>IFERROR(__xludf.DUMMYFUNCTION("""COMPUTED_VALUE"""),"D3 FARMASI")</f>
        <v>D3 FARMASI</v>
      </c>
      <c r="K78" s="38" t="str">
        <f>IFERROR(__xludf.DUMMYFUNCTION("""COMPUTED_VALUE"""),"Jl. Sri Bangun Rt.021 Kota Bangun Ulu")</f>
        <v>Jl. Sri Bangun Rt.021 Kota Bangun Ulu</v>
      </c>
      <c r="L78" s="38"/>
      <c r="M78" s="38" t="str">
        <f>IFERROR(__xludf.DUMMYFUNCTION("""COMPUTED_VALUE"""),"TTK")</f>
        <v>TTK</v>
      </c>
      <c r="N78" s="39">
        <f>IFERROR(__xludf.DUMMYFUNCTION("""COMPUTED_VALUE"""),45537)</f>
        <v>45537</v>
      </c>
      <c r="O78" s="39">
        <f>IFERROR(__xludf.DUMMYFUNCTION("""COMPUTED_VALUE"""),46211.4145195601)</f>
        <v>46211.4145195601</v>
      </c>
      <c r="P78" s="38" t="str">
        <f>IFERROR(__xludf.DUMMYFUNCTION("""COMPUTED_VALUE"""),"1 Tahun10 Bulan")</f>
        <v>1 Tahun10 Bulan</v>
      </c>
      <c r="Q78" s="38"/>
      <c r="R78" s="38" t="str">
        <f>IFERROR(__xludf.DUMMYFUNCTION("""COMPUTED_VALUE"""),"BLUD")</f>
        <v>BLUD</v>
      </c>
      <c r="S78" s="38"/>
      <c r="T78" s="38"/>
      <c r="U78" s="38"/>
      <c r="V78" s="38"/>
      <c r="W78" s="38"/>
      <c r="X78" s="38"/>
      <c r="Y78" s="39">
        <f>IFERROR(__xludf.DUMMYFUNCTION("""COMPUTED_VALUE"""),46211.4145195833)</f>
        <v>46211.4145195833</v>
      </c>
      <c r="Z78" s="38" t="str">
        <f>IFERROR(__xludf.DUMMYFUNCTION("""COMPUTED_VALUE"""),"#NUM!")</f>
        <v>#NUM!</v>
      </c>
      <c r="AA78" s="38"/>
      <c r="AB78" s="38"/>
      <c r="AC78" s="38"/>
      <c r="AD78" s="38"/>
      <c r="AE78" s="38"/>
      <c r="AF78" s="38"/>
      <c r="AG78" s="38"/>
      <c r="AH78" s="38"/>
      <c r="AI78" s="38" t="str">
        <f>IFERROR(__xludf.DUMMYFUNCTION("""COMPUTED_VALUE"""),"3. IGD,IBS &amp;CATHLAB")</f>
        <v>3. IGD,IBS &amp;CATHLAB</v>
      </c>
      <c r="AJ78" s="38"/>
      <c r="AK78" s="38"/>
      <c r="AL78" s="38"/>
      <c r="AM78" s="38"/>
      <c r="AN78" s="38" t="str">
        <f>IFERROR(__xludf.DUMMYFUNCTION("""COMPUTED_VALUE"""),"AKTIF")</f>
        <v>AKTIF</v>
      </c>
    </row>
    <row r="79" ht="12.75" spans="1:40">
      <c r="A79" s="38">
        <f>IFERROR(__xludf.DUMMYFUNCTION("""COMPUTED_VALUE"""),78)</f>
        <v>78</v>
      </c>
      <c r="B79" s="38" t="str">
        <f>IFERROR(__xludf.DUMMYFUNCTION("""COMPUTED_VALUE"""),"Apt.Chica Dwi Cahya, S.Farm")</f>
        <v>Apt.Chica Dwi Cahya, S.Farm</v>
      </c>
      <c r="C79" s="38" t="str">
        <f>IFERROR(__xludf.DUMMYFUNCTION("""COMPUTED_VALUE"""),"a@gmail.com")</f>
        <v>a@gmail.com</v>
      </c>
      <c r="D79" s="38" t="str">
        <f>IFERROR(__xludf.DUMMYFUNCTION("""COMPUTED_VALUE"""),"B199712192024092001")</f>
        <v>B199712192024092001</v>
      </c>
      <c r="E79" s="38">
        <f>IFERROR(__xludf.DUMMYFUNCTION("""COMPUTED_VALUE"""),0)</f>
        <v>0</v>
      </c>
      <c r="F79" s="38" t="str">
        <f>IFERROR(__xludf.DUMMYFUNCTION("""COMPUTED_VALUE"""),"P")</f>
        <v>P</v>
      </c>
      <c r="G79" s="38" t="str">
        <f>IFERROR(__xludf.DUMMYFUNCTION("""COMPUTED_VALUE"""),"KEDIRI")</f>
        <v>KEDIRI</v>
      </c>
      <c r="H79" s="39">
        <f>IFERROR(__xludf.DUMMYFUNCTION("""COMPUTED_VALUE"""),35783)</f>
        <v>35783</v>
      </c>
      <c r="I79" s="38">
        <f>IFERROR(__xludf.DUMMYFUNCTION("""COMPUTED_VALUE"""),28)</f>
        <v>28</v>
      </c>
      <c r="J79" s="38" t="str">
        <f>IFERROR(__xludf.DUMMYFUNCTION("""COMPUTED_VALUE"""),"S1 APOTEKER")</f>
        <v>S1 APOTEKER</v>
      </c>
      <c r="K79" s="38" t="str">
        <f>IFERROR(__xludf.DUMMYFUNCTION("""COMPUTED_VALUE"""),"Jl. Mangkuraja No. 60, Loa Ipuh, Tenggarong")</f>
        <v>Jl. Mangkuraja No. 60, Loa Ipuh, Tenggarong</v>
      </c>
      <c r="L79" s="38" t="str">
        <f>IFERROR(__xludf.DUMMYFUNCTION("""COMPUTED_VALUE"""),"Universitas Islam Indonesia")</f>
        <v>Universitas Islam Indonesia</v>
      </c>
      <c r="M79" s="38" t="str">
        <f>IFERROR(__xludf.DUMMYFUNCTION("""COMPUTED_VALUE"""),"APOTEKER")</f>
        <v>APOTEKER</v>
      </c>
      <c r="N79" s="39">
        <f>IFERROR(__xludf.DUMMYFUNCTION("""COMPUTED_VALUE"""),45537)</f>
        <v>45537</v>
      </c>
      <c r="O79" s="39">
        <f>IFERROR(__xludf.DUMMYFUNCTION("""COMPUTED_VALUE"""),46211.4145195601)</f>
        <v>46211.4145195601</v>
      </c>
      <c r="P79" s="38" t="str">
        <f>IFERROR(__xludf.DUMMYFUNCTION("""COMPUTED_VALUE"""),"1 Tahun10 Bulan")</f>
        <v>1 Tahun10 Bulan</v>
      </c>
      <c r="Q79" s="38" t="str">
        <f>IFERROR(__xludf.DUMMYFUNCTION("""COMPUTED_VALUE"""),"Staff Rawat Inap")</f>
        <v>Staff Rawat Inap</v>
      </c>
      <c r="R79" s="38" t="str">
        <f>IFERROR(__xludf.DUMMYFUNCTION("""COMPUTED_VALUE"""),"BLUD")</f>
        <v>BLUD</v>
      </c>
      <c r="S79" s="38" t="str">
        <f>IFERROR(__xludf.DUMMYFUNCTION("""COMPUTED_VALUE"""),"ZE00001481589585")</f>
        <v>ZE00001481589585</v>
      </c>
      <c r="T79" s="40">
        <f>IFERROR(__xludf.DUMMYFUNCTION("""COMPUTED_VALUE"""),47810)</f>
        <v>47810</v>
      </c>
      <c r="U79" s="38"/>
      <c r="V79" s="38"/>
      <c r="W79" s="38" t="str">
        <f>IFERROR(__xludf.DUMMYFUNCTION("""COMPUTED_VALUE"""),"19971219/SIPA 64.03/2024/2/424")</f>
        <v>19971219/SIPA 64.03/2024/2/424</v>
      </c>
      <c r="X79" s="39">
        <f>IFERROR(__xludf.DUMMYFUNCTION("""COMPUTED_VALUE"""),47415)</f>
        <v>47415</v>
      </c>
      <c r="Y79" s="39">
        <f>IFERROR(__xludf.DUMMYFUNCTION("""COMPUTED_VALUE"""),46211.4145195833)</f>
        <v>46211.4145195833</v>
      </c>
      <c r="Z79" s="38" t="str">
        <f>IFERROR(__xludf.DUMMYFUNCTION("""COMPUTED_VALUE"""),"3 Tahun3 Bulan")</f>
        <v>3 Tahun3 Bulan</v>
      </c>
      <c r="AA79" s="38" t="str">
        <f>IFERROR(__xludf.DUMMYFUNCTION("""COMPUTED_VALUE"""),"DATA BASE_Images/86.FOTO.021654.png")</f>
        <v>DATA BASE_Images/86.FOTO.021654.png</v>
      </c>
      <c r="AB79" s="38"/>
      <c r="AC79" s="38"/>
      <c r="AD79" s="38" t="str">
        <f>IFERROR(__xludf.DUMMYFUNCTION("""COMPUTED_VALUE"""),"DATA BASE_Files_/86.FILE STR.021654.pdf")</f>
        <v>DATA BASE_Files_/86.FILE STR.021654.pdf</v>
      </c>
      <c r="AE79" s="38"/>
      <c r="AF79" s="38"/>
      <c r="AG79" s="38"/>
      <c r="AH79" s="38"/>
      <c r="AI79" s="38" t="str">
        <f>IFERROR(__xludf.DUMMYFUNCTION("""COMPUTED_VALUE"""),"4. FARMASI KLINIS")</f>
        <v>4. FARMASI KLINIS</v>
      </c>
      <c r="AJ79" s="38"/>
      <c r="AK79" s="38"/>
      <c r="AL79" s="38"/>
      <c r="AM79" s="38"/>
      <c r="AN79" s="38" t="str">
        <f>IFERROR(__xludf.DUMMYFUNCTION("""COMPUTED_VALUE"""),"AKTIF")</f>
        <v>AKTIF</v>
      </c>
    </row>
    <row r="80" ht="12.75" spans="1:40">
      <c r="A80" s="38">
        <f>IFERROR(__xludf.DUMMYFUNCTION("""COMPUTED_VALUE"""),79)</f>
        <v>79</v>
      </c>
      <c r="B80" s="38" t="str">
        <f>IFERROR(__xludf.DUMMYFUNCTION("""COMPUTED_VALUE"""),"Indra Fathur Firmansyah, S.Farm")</f>
        <v>Indra Fathur Firmansyah, S.Farm</v>
      </c>
      <c r="C80" s="38" t="str">
        <f>IFERROR(__xludf.DUMMYFUNCTION("""COMPUTED_VALUE"""),"indra224.if@gmail.com")</f>
        <v>indra224.if@gmail.com</v>
      </c>
      <c r="D80" s="38" t="str">
        <f>IFERROR(__xludf.DUMMYFUNCTION("""COMPUTED_VALUE"""),"199411242025211028")</f>
        <v>199411242025211028</v>
      </c>
      <c r="E80" s="38" t="str">
        <f>IFERROR(__xludf.DUMMYFUNCTION("""COMPUTED_VALUE"""),"6402062411940001")</f>
        <v>6402062411940001</v>
      </c>
      <c r="F80" s="38" t="str">
        <f>IFERROR(__xludf.DUMMYFUNCTION("""COMPUTED_VALUE"""),"L")</f>
        <v>L</v>
      </c>
      <c r="G80" s="38" t="str">
        <f>IFERROR(__xludf.DUMMYFUNCTION("""COMPUTED_VALUE"""),"Tenggarong")</f>
        <v>Tenggarong</v>
      </c>
      <c r="H80" s="40">
        <f>IFERROR(__xludf.DUMMYFUNCTION("""COMPUTED_VALUE"""),34662)</f>
        <v>34662</v>
      </c>
      <c r="I80" s="38">
        <f>IFERROR(__xludf.DUMMYFUNCTION("""COMPUTED_VALUE"""),31)</f>
        <v>31</v>
      </c>
      <c r="J80" s="38" t="str">
        <f>IFERROR(__xludf.DUMMYFUNCTION("""COMPUTED_VALUE"""),"S1 FARMASI")</f>
        <v>S1 FARMASI</v>
      </c>
      <c r="K80" s="38" t="str">
        <f>IFERROR(__xludf.DUMMYFUNCTION("""COMPUTED_VALUE"""),"jl.Mangkuraja No 22 RT 020, Keluraha Loa Ipuh")</f>
        <v>jl.Mangkuraja No 22 RT 020, Keluraha Loa Ipuh</v>
      </c>
      <c r="L80" s="38" t="str">
        <f>IFERROR(__xludf.DUMMYFUNCTION("""COMPUTED_VALUE"""),"Universitas Setia Budi Surakarta")</f>
        <v>Universitas Setia Budi Surakarta</v>
      </c>
      <c r="M80" s="38" t="str">
        <f>IFERROR(__xludf.DUMMYFUNCTION("""COMPUTED_VALUE"""),"Administrator Kesehatan")</f>
        <v>Administrator Kesehatan</v>
      </c>
      <c r="N80" s="39">
        <f>IFERROR(__xludf.DUMMYFUNCTION("""COMPUTED_VALUE"""),45809)</f>
        <v>45809</v>
      </c>
      <c r="O80" s="39">
        <f>IFERROR(__xludf.DUMMYFUNCTION("""COMPUTED_VALUE"""),46211.4145195601)</f>
        <v>46211.4145195601</v>
      </c>
      <c r="P80" s="38" t="str">
        <f>IFERROR(__xludf.DUMMYFUNCTION("""COMPUTED_VALUE"""),"1 Tahun1 Bulan")</f>
        <v>1 Tahun1 Bulan</v>
      </c>
      <c r="Q80" s="38" t="str">
        <f>IFERROR(__xludf.DUMMYFUNCTION("""COMPUTED_VALUE"""),"Staff Admin")</f>
        <v>Staff Admin</v>
      </c>
      <c r="R80" s="38" t="str">
        <f>IFERROR(__xludf.DUMMYFUNCTION("""COMPUTED_VALUE"""),"PPPK")</f>
        <v>PPPK</v>
      </c>
      <c r="S80" s="38"/>
      <c r="T80" s="39">
        <f>IFERROR(__xludf.DUMMYFUNCTION("""COMPUTED_VALUE"""),36892)</f>
        <v>36892</v>
      </c>
      <c r="U80" s="38"/>
      <c r="V80" s="38"/>
      <c r="W80" s="38"/>
      <c r="X80" s="39">
        <f>IFERROR(__xludf.DUMMYFUNCTION("""COMPUTED_VALUE"""),36892)</f>
        <v>36892</v>
      </c>
      <c r="Y80" s="39">
        <f>IFERROR(__xludf.DUMMYFUNCTION("""COMPUTED_VALUE"""),46211.4145195833)</f>
        <v>46211.4145195833</v>
      </c>
      <c r="Z80" s="38" t="str">
        <f>IFERROR(__xludf.DUMMYFUNCTION("""COMPUTED_VALUE"""),"#NUM!")</f>
        <v>#NUM!</v>
      </c>
      <c r="AA80" s="38"/>
      <c r="AB80" s="38"/>
      <c r="AC80" s="38"/>
      <c r="AD80" s="38"/>
      <c r="AE80" s="38"/>
      <c r="AF80" s="38"/>
      <c r="AG80" s="38" t="str">
        <f>IFERROR(__xludf.DUMMYFUNCTION("""COMPUTED_VALUE"""),"DATA BASE_Files_/84.IJAZAH.030900.pdf")</f>
        <v>DATA BASE_Files_/84.IJAZAH.030900.pdf</v>
      </c>
      <c r="AH80" s="38"/>
      <c r="AI80" s="38" t="str">
        <f>IFERROR(__xludf.DUMMYFUNCTION("""COMPUTED_VALUE"""),"2. ADMINISTRASI")</f>
        <v>2. ADMINISTRASI</v>
      </c>
      <c r="AJ80" s="38"/>
      <c r="AK80" s="38"/>
      <c r="AL80" s="38"/>
      <c r="AM80" s="38"/>
      <c r="AN80" s="38" t="str">
        <f>IFERROR(__xludf.DUMMYFUNCTION("""COMPUTED_VALUE"""),"AKTIF")</f>
        <v>AKTIF</v>
      </c>
    </row>
    <row r="81" ht="12.75" spans="1:40">
      <c r="A81" s="38">
        <f>IFERROR(__xludf.DUMMYFUNCTION("""COMPUTED_VALUE"""),80)</f>
        <v>80</v>
      </c>
      <c r="B81" s="38" t="str">
        <f>IFERROR(__xludf.DUMMYFUNCTION("""COMPUTED_VALUE"""),"Asanah, A.Md.Farm")</f>
        <v>Asanah, A.Md.Farm</v>
      </c>
      <c r="C81" s="38" t="str">
        <f>IFERROR(__xludf.DUMMYFUNCTION("""COMPUTED_VALUE"""),"a@gmail.com")</f>
        <v>a@gmail.com</v>
      </c>
      <c r="D81" s="38" t="str">
        <f>IFERROR(__xludf.DUMMYFUNCTION("""COMPUTED_VALUE"""),"B200312282025112058")</f>
        <v>B200312282025112058</v>
      </c>
      <c r="E81" s="38"/>
      <c r="F81" s="38" t="str">
        <f>IFERROR(__xludf.DUMMYFUNCTION("""COMPUTED_VALUE"""),"P")</f>
        <v>P</v>
      </c>
      <c r="G81" s="38" t="str">
        <f>IFERROR(__xludf.DUMMYFUNCTION("""COMPUTED_VALUE"""),"Tenggarong")</f>
        <v>Tenggarong</v>
      </c>
      <c r="H81" s="40">
        <f>IFERROR(__xludf.DUMMYFUNCTION("""COMPUTED_VALUE"""),37983)</f>
        <v>37983</v>
      </c>
      <c r="I81" s="38">
        <f>IFERROR(__xludf.DUMMYFUNCTION("""COMPUTED_VALUE"""),22)</f>
        <v>22</v>
      </c>
      <c r="J81" s="38" t="str">
        <f>IFERROR(__xludf.DUMMYFUNCTION("""COMPUTED_VALUE"""),"D3 FARMASI")</f>
        <v>D3 FARMASI</v>
      </c>
      <c r="K81" s="38"/>
      <c r="L81" s="38"/>
      <c r="M81" s="38" t="str">
        <f>IFERROR(__xludf.DUMMYFUNCTION("""COMPUTED_VALUE"""),"TTK")</f>
        <v>TTK</v>
      </c>
      <c r="N81" s="39">
        <f>IFERROR(__xludf.DUMMYFUNCTION("""COMPUTED_VALUE"""),45962)</f>
        <v>45962</v>
      </c>
      <c r="O81" s="39">
        <f>IFERROR(__xludf.DUMMYFUNCTION("""COMPUTED_VALUE"""),46211.4145195601)</f>
        <v>46211.4145195601</v>
      </c>
      <c r="P81" s="38" t="str">
        <f>IFERROR(__xludf.DUMMYFUNCTION("""COMPUTED_VALUE"""),"0 Tahun8 Bulan")</f>
        <v>0 Tahun8 Bulan</v>
      </c>
      <c r="Q81" s="38"/>
      <c r="R81" s="38" t="str">
        <f>IFERROR(__xludf.DUMMYFUNCTION("""COMPUTED_VALUE"""),"BLUD")</f>
        <v>BLUD</v>
      </c>
      <c r="S81" s="38"/>
      <c r="T81" s="38"/>
      <c r="U81" s="38"/>
      <c r="V81" s="38"/>
      <c r="W81" s="38"/>
      <c r="X81" s="38"/>
      <c r="Y81" s="39">
        <f>IFERROR(__xludf.DUMMYFUNCTION("""COMPUTED_VALUE"""),46211.4145195833)</f>
        <v>46211.4145195833</v>
      </c>
      <c r="Z81" s="38" t="str">
        <f>IFERROR(__xludf.DUMMYFUNCTION("""COMPUTED_VALUE"""),"#NUM!")</f>
        <v>#NUM!</v>
      </c>
      <c r="AA81" s="38"/>
      <c r="AB81" s="38"/>
      <c r="AC81" s="38"/>
      <c r="AD81" s="38"/>
      <c r="AE81" s="38"/>
      <c r="AF81" s="38"/>
      <c r="AG81" s="38"/>
      <c r="AH81" s="38"/>
      <c r="AI81" s="38" t="str">
        <f>IFERROR(__xludf.DUMMYFUNCTION("""COMPUTED_VALUE"""),"6. RAWAT JALAN")</f>
        <v>6. RAWAT JALAN</v>
      </c>
      <c r="AJ81" s="38"/>
      <c r="AK81" s="38"/>
      <c r="AL81" s="38"/>
      <c r="AM81" s="38"/>
      <c r="AN81" s="38" t="str">
        <f>IFERROR(__xludf.DUMMYFUNCTION("""COMPUTED_VALUE"""),"AKTIF")</f>
        <v>AKTIF</v>
      </c>
    </row>
    <row r="82" ht="12.75" spans="1:40">
      <c r="A82" s="38">
        <f>IFERROR(__xludf.DUMMYFUNCTION("""COMPUTED_VALUE"""),81)</f>
        <v>81</v>
      </c>
      <c r="B82" s="38" t="str">
        <f>IFERROR(__xludf.DUMMYFUNCTION("""COMPUTED_VALUE"""),"Kurnia Della, A.Md.Farm")</f>
        <v>Kurnia Della, A.Md.Farm</v>
      </c>
      <c r="C82" s="38" t="str">
        <f>IFERROR(__xludf.DUMMYFUNCTION("""COMPUTED_VALUE"""),"a@gmail.com")</f>
        <v>a@gmail.com</v>
      </c>
      <c r="D82" s="38" t="str">
        <f>IFERROR(__xludf.DUMMYFUNCTION("""COMPUTED_VALUE"""),"B200108152025112059")</f>
        <v>B200108152025112059</v>
      </c>
      <c r="E82" s="38"/>
      <c r="F82" s="38" t="str">
        <f>IFERROR(__xludf.DUMMYFUNCTION("""COMPUTED_VALUE"""),"P")</f>
        <v>P</v>
      </c>
      <c r="G82" s="38" t="str">
        <f>IFERROR(__xludf.DUMMYFUNCTION("""COMPUTED_VALUE"""),"Tenggarong")</f>
        <v>Tenggarong</v>
      </c>
      <c r="H82" s="39">
        <f>IFERROR(__xludf.DUMMYFUNCTION("""COMPUTED_VALUE"""),37118)</f>
        <v>37118</v>
      </c>
      <c r="I82" s="38">
        <f>IFERROR(__xludf.DUMMYFUNCTION("""COMPUTED_VALUE"""),24)</f>
        <v>24</v>
      </c>
      <c r="J82" s="38" t="str">
        <f>IFERROR(__xludf.DUMMYFUNCTION("""COMPUTED_VALUE"""),"D3 FARMASI")</f>
        <v>D3 FARMASI</v>
      </c>
      <c r="K82" s="38"/>
      <c r="L82" s="38"/>
      <c r="M82" s="38" t="str">
        <f>IFERROR(__xludf.DUMMYFUNCTION("""COMPUTED_VALUE"""),"TTK")</f>
        <v>TTK</v>
      </c>
      <c r="N82" s="39">
        <f>IFERROR(__xludf.DUMMYFUNCTION("""COMPUTED_VALUE"""),45962)</f>
        <v>45962</v>
      </c>
      <c r="O82" s="39">
        <f>IFERROR(__xludf.DUMMYFUNCTION("""COMPUTED_VALUE"""),46211.4145195601)</f>
        <v>46211.4145195601</v>
      </c>
      <c r="P82" s="38" t="str">
        <f>IFERROR(__xludf.DUMMYFUNCTION("""COMPUTED_VALUE"""),"0 Tahun8 Bulan")</f>
        <v>0 Tahun8 Bulan</v>
      </c>
      <c r="Q82" s="38"/>
      <c r="R82" s="38" t="str">
        <f>IFERROR(__xludf.DUMMYFUNCTION("""COMPUTED_VALUE"""),"BLUD")</f>
        <v>BLUD</v>
      </c>
      <c r="S82" s="38"/>
      <c r="T82" s="38"/>
      <c r="U82" s="38"/>
      <c r="V82" s="38"/>
      <c r="W82" s="38"/>
      <c r="X82" s="38"/>
      <c r="Y82" s="39">
        <f>IFERROR(__xludf.DUMMYFUNCTION("""COMPUTED_VALUE"""),46211.4145195833)</f>
        <v>46211.4145195833</v>
      </c>
      <c r="Z82" s="38" t="str">
        <f>IFERROR(__xludf.DUMMYFUNCTION("""COMPUTED_VALUE"""),"#NUM!")</f>
        <v>#NUM!</v>
      </c>
      <c r="AA82" s="38"/>
      <c r="AB82" s="38"/>
      <c r="AC82" s="38"/>
      <c r="AD82" s="38"/>
      <c r="AE82" s="38"/>
      <c r="AF82" s="38"/>
      <c r="AG82" s="38"/>
      <c r="AH82" s="38"/>
      <c r="AI82" s="38" t="str">
        <f>IFERROR(__xludf.DUMMYFUNCTION("""COMPUTED_VALUE"""),"6. RAWAT JALAN")</f>
        <v>6. RAWAT JALAN</v>
      </c>
      <c r="AJ82" s="38"/>
      <c r="AK82" s="38"/>
      <c r="AL82" s="38"/>
      <c r="AM82" s="38"/>
      <c r="AN82" s="38" t="str">
        <f>IFERROR(__xludf.DUMMYFUNCTION("""COMPUTED_VALUE"""),"AKTIF")</f>
        <v>AKTIF</v>
      </c>
    </row>
    <row r="83" ht="12.75" spans="1:40">
      <c r="A83" s="38">
        <f>IFERROR(__xludf.DUMMYFUNCTION("""COMPUTED_VALUE"""),82)</f>
        <v>82</v>
      </c>
      <c r="B83" s="38" t="str">
        <f>IFERROR(__xludf.DUMMYFUNCTION("""COMPUTED_VALUE"""),"Adelia Nor Ramadhini, A.Md.Farm")</f>
        <v>Adelia Nor Ramadhini, A.Md.Farm</v>
      </c>
      <c r="C83" s="38" t="str">
        <f>IFERROR(__xludf.DUMMYFUNCTION("""COMPUTED_VALUE"""),"a@gmail.com")</f>
        <v>a@gmail.com</v>
      </c>
      <c r="D83" s="38" t="str">
        <f>IFERROR(__xludf.DUMMYFUNCTION("""COMPUTED_VALUE"""),"B200311182025112060")</f>
        <v>B200311182025112060</v>
      </c>
      <c r="E83" s="38"/>
      <c r="F83" s="38" t="str">
        <f>IFERROR(__xludf.DUMMYFUNCTION("""COMPUTED_VALUE"""),"P")</f>
        <v>P</v>
      </c>
      <c r="G83" s="38" t="str">
        <f>IFERROR(__xludf.DUMMYFUNCTION("""COMPUTED_VALUE"""),"Tenggarong")</f>
        <v>Tenggarong</v>
      </c>
      <c r="H83" s="40">
        <f>IFERROR(__xludf.DUMMYFUNCTION("""COMPUTED_VALUE"""),37943)</f>
        <v>37943</v>
      </c>
      <c r="I83" s="38">
        <f>IFERROR(__xludf.DUMMYFUNCTION("""COMPUTED_VALUE"""),22)</f>
        <v>22</v>
      </c>
      <c r="J83" s="38" t="str">
        <f>IFERROR(__xludf.DUMMYFUNCTION("""COMPUTED_VALUE"""),"D3 FARMASI")</f>
        <v>D3 FARMASI</v>
      </c>
      <c r="K83" s="38"/>
      <c r="L83" s="38"/>
      <c r="M83" s="38" t="str">
        <f>IFERROR(__xludf.DUMMYFUNCTION("""COMPUTED_VALUE"""),"TTK")</f>
        <v>TTK</v>
      </c>
      <c r="N83" s="39">
        <f>IFERROR(__xludf.DUMMYFUNCTION("""COMPUTED_VALUE"""),45962)</f>
        <v>45962</v>
      </c>
      <c r="O83" s="39">
        <f>IFERROR(__xludf.DUMMYFUNCTION("""COMPUTED_VALUE"""),46211.4145195601)</f>
        <v>46211.4145195601</v>
      </c>
      <c r="P83" s="38" t="str">
        <f>IFERROR(__xludf.DUMMYFUNCTION("""COMPUTED_VALUE"""),"0 Tahun8 Bulan")</f>
        <v>0 Tahun8 Bulan</v>
      </c>
      <c r="Q83" s="38"/>
      <c r="R83" s="38" t="str">
        <f>IFERROR(__xludf.DUMMYFUNCTION("""COMPUTED_VALUE"""),"BLUD")</f>
        <v>BLUD</v>
      </c>
      <c r="S83" s="38"/>
      <c r="T83" s="38"/>
      <c r="U83" s="38"/>
      <c r="V83" s="38"/>
      <c r="W83" s="38"/>
      <c r="X83" s="38"/>
      <c r="Y83" s="39">
        <f>IFERROR(__xludf.DUMMYFUNCTION("""COMPUTED_VALUE"""),46211.4145195833)</f>
        <v>46211.4145195833</v>
      </c>
      <c r="Z83" s="38" t="str">
        <f>IFERROR(__xludf.DUMMYFUNCTION("""COMPUTED_VALUE"""),"#NUM!")</f>
        <v>#NUM!</v>
      </c>
      <c r="AA83" s="38"/>
      <c r="AB83" s="38"/>
      <c r="AC83" s="38"/>
      <c r="AD83" s="38"/>
      <c r="AE83" s="38"/>
      <c r="AF83" s="38"/>
      <c r="AG83" s="38"/>
      <c r="AH83" s="38"/>
      <c r="AI83" s="38" t="str">
        <f>IFERROR(__xludf.DUMMYFUNCTION("""COMPUTED_VALUE"""),"6. RAWAT JALAN")</f>
        <v>6. RAWAT JALAN</v>
      </c>
      <c r="AJ83" s="38"/>
      <c r="AK83" s="38"/>
      <c r="AL83" s="38"/>
      <c r="AM83" s="38"/>
      <c r="AN83" s="38" t="str">
        <f>IFERROR(__xludf.DUMMYFUNCTION("""COMPUTED_VALUE"""),"AKTIF")</f>
        <v>AKTIF</v>
      </c>
    </row>
    <row r="84" ht="12.75" spans="1:40">
      <c r="A84" s="38">
        <f>IFERROR(__xludf.DUMMYFUNCTION("""COMPUTED_VALUE"""),83)</f>
        <v>83</v>
      </c>
      <c r="B84" s="38" t="str">
        <f>IFERROR(__xludf.DUMMYFUNCTION("""COMPUTED_VALUE"""),"Apt. Emilia Pratiwi, S.Farm")</f>
        <v>Apt. Emilia Pratiwi, S.Farm</v>
      </c>
      <c r="C84" s="38" t="str">
        <f>IFERROR(__xludf.DUMMYFUNCTION("""COMPUTED_VALUE"""),"a@gmail.com")</f>
        <v>a@gmail.com</v>
      </c>
      <c r="D84" s="38" t="str">
        <f>IFERROR(__xludf.DUMMYFUNCTION("""COMPUTED_VALUE"""),"B200102212025112057")</f>
        <v>B200102212025112057</v>
      </c>
      <c r="E84" s="38"/>
      <c r="F84" s="38" t="str">
        <f>IFERROR(__xludf.DUMMYFUNCTION("""COMPUTED_VALUE"""),"P")</f>
        <v>P</v>
      </c>
      <c r="G84" s="38" t="str">
        <f>IFERROR(__xludf.DUMMYFUNCTION("""COMPUTED_VALUE"""),"Tenggarong")</f>
        <v>Tenggarong</v>
      </c>
      <c r="H84" s="39">
        <f>IFERROR(__xludf.DUMMYFUNCTION("""COMPUTED_VALUE"""),36943)</f>
        <v>36943</v>
      </c>
      <c r="I84" s="38">
        <f>IFERROR(__xludf.DUMMYFUNCTION("""COMPUTED_VALUE"""),25)</f>
        <v>25</v>
      </c>
      <c r="J84" s="38" t="str">
        <f>IFERROR(__xludf.DUMMYFUNCTION("""COMPUTED_VALUE"""),"S1 APOTEKER")</f>
        <v>S1 APOTEKER</v>
      </c>
      <c r="K84" s="38"/>
      <c r="L84" s="38"/>
      <c r="M84" s="38" t="str">
        <f>IFERROR(__xludf.DUMMYFUNCTION("""COMPUTED_VALUE"""),"APOTEKER")</f>
        <v>APOTEKER</v>
      </c>
      <c r="N84" s="39">
        <f>IFERROR(__xludf.DUMMYFUNCTION("""COMPUTED_VALUE"""),45962)</f>
        <v>45962</v>
      </c>
      <c r="O84" s="39">
        <f>IFERROR(__xludf.DUMMYFUNCTION("""COMPUTED_VALUE"""),46211.4145195601)</f>
        <v>46211.4145195601</v>
      </c>
      <c r="P84" s="38" t="str">
        <f>IFERROR(__xludf.DUMMYFUNCTION("""COMPUTED_VALUE"""),"0 Tahun8 Bulan")</f>
        <v>0 Tahun8 Bulan</v>
      </c>
      <c r="Q84" s="38"/>
      <c r="R84" s="38" t="str">
        <f>IFERROR(__xludf.DUMMYFUNCTION("""COMPUTED_VALUE"""),"BLUD")</f>
        <v>BLUD</v>
      </c>
      <c r="S84" s="38"/>
      <c r="T84" s="38"/>
      <c r="U84" s="38"/>
      <c r="V84" s="38"/>
      <c r="W84" s="38"/>
      <c r="X84" s="38"/>
      <c r="Y84" s="39">
        <f>IFERROR(__xludf.DUMMYFUNCTION("""COMPUTED_VALUE"""),46211.4145195833)</f>
        <v>46211.4145195833</v>
      </c>
      <c r="Z84" s="38" t="str">
        <f>IFERROR(__xludf.DUMMYFUNCTION("""COMPUTED_VALUE"""),"#NUM!")</f>
        <v>#NUM!</v>
      </c>
      <c r="AA84" s="38"/>
      <c r="AB84" s="38"/>
      <c r="AC84" s="38"/>
      <c r="AD84" s="38"/>
      <c r="AE84" s="38"/>
      <c r="AF84" s="38"/>
      <c r="AG84" s="38"/>
      <c r="AH84" s="38"/>
      <c r="AI84" s="38" t="str">
        <f>IFERROR(__xludf.DUMMYFUNCTION("""COMPUTED_VALUE"""),"6. RAWAT JALAN")</f>
        <v>6. RAWAT JALAN</v>
      </c>
      <c r="AJ84" s="38"/>
      <c r="AK84" s="38"/>
      <c r="AL84" s="38"/>
      <c r="AM84" s="38"/>
      <c r="AN84" s="38" t="str">
        <f>IFERROR(__xludf.DUMMYFUNCTION("""COMPUTED_VALUE"""),"AKTIF")</f>
        <v>AKTIF</v>
      </c>
    </row>
    <row r="85" ht="12.75" spans="1:40">
      <c r="A85" s="38">
        <f>IFERROR(__xludf.DUMMYFUNCTION("""COMPUTED_VALUE"""),84)</f>
        <v>84</v>
      </c>
      <c r="B85" s="38" t="str">
        <f>IFERROR(__xludf.DUMMYFUNCTION("""COMPUTED_VALUE"""),"Apt. Badzlina Azyyati Maizan, S.Farm., M.Farm.Klin")</f>
        <v>Apt. Badzlina Azyyati Maizan, S.Farm., M.Farm.Klin</v>
      </c>
      <c r="C85" s="38" t="str">
        <f>IFERROR(__xludf.DUMMYFUNCTION("""COMPUTED_VALUE"""),"a@gmail.com")</f>
        <v>a@gmail.com</v>
      </c>
      <c r="D85" s="38" t="str">
        <f>IFERROR(__xludf.DUMMYFUNCTION("""COMPUTED_VALUE"""),"B199901232026012004")</f>
        <v>B199901232026012004</v>
      </c>
      <c r="E85" s="38"/>
      <c r="F85" s="38" t="str">
        <f>IFERROR(__xludf.DUMMYFUNCTION("""COMPUTED_VALUE"""),"P")</f>
        <v>P</v>
      </c>
      <c r="G85" s="38" t="str">
        <f>IFERROR(__xludf.DUMMYFUNCTION("""COMPUTED_VALUE"""),"Tenggarong")</f>
        <v>Tenggarong</v>
      </c>
      <c r="H85" s="39">
        <f>IFERROR(__xludf.DUMMYFUNCTION("""COMPUTED_VALUE"""),36183)</f>
        <v>36183</v>
      </c>
      <c r="I85" s="38">
        <f>IFERROR(__xludf.DUMMYFUNCTION("""COMPUTED_VALUE"""),27)</f>
        <v>27</v>
      </c>
      <c r="J85" s="38" t="str">
        <f>IFERROR(__xludf.DUMMYFUNCTION("""COMPUTED_VALUE"""),"S2 APOTEKER")</f>
        <v>S2 APOTEKER</v>
      </c>
      <c r="K85" s="38"/>
      <c r="L85" s="38"/>
      <c r="M85" s="38" t="str">
        <f>IFERROR(__xludf.DUMMYFUNCTION("""COMPUTED_VALUE"""),"APOTEKER")</f>
        <v>APOTEKER</v>
      </c>
      <c r="N85" s="39">
        <f>IFERROR(__xludf.DUMMYFUNCTION("""COMPUTED_VALUE"""),46054)</f>
        <v>46054</v>
      </c>
      <c r="O85" s="39">
        <f>IFERROR(__xludf.DUMMYFUNCTION("""COMPUTED_VALUE"""),46211.4145195601)</f>
        <v>46211.4145195601</v>
      </c>
      <c r="P85" s="38" t="str">
        <f>IFERROR(__xludf.DUMMYFUNCTION("""COMPUTED_VALUE"""),"0 Tahun5 Bulan")</f>
        <v>0 Tahun5 Bulan</v>
      </c>
      <c r="Q85" s="38"/>
      <c r="R85" s="38" t="str">
        <f>IFERROR(__xludf.DUMMYFUNCTION("""COMPUTED_VALUE"""),"BLUD")</f>
        <v>BLUD</v>
      </c>
      <c r="S85" s="38"/>
      <c r="T85" s="38"/>
      <c r="U85" s="38"/>
      <c r="V85" s="38"/>
      <c r="W85" s="38"/>
      <c r="X85" s="38"/>
      <c r="Y85" s="39">
        <f>IFERROR(__xludf.DUMMYFUNCTION("""COMPUTED_VALUE"""),46211.4145195833)</f>
        <v>46211.4145195833</v>
      </c>
      <c r="Z85" s="38" t="str">
        <f>IFERROR(__xludf.DUMMYFUNCTION("""COMPUTED_VALUE"""),"#NUM!")</f>
        <v>#NUM!</v>
      </c>
      <c r="AA85" s="38"/>
      <c r="AB85" s="38"/>
      <c r="AC85" s="38"/>
      <c r="AD85" s="38"/>
      <c r="AE85" s="38"/>
      <c r="AF85" s="38"/>
      <c r="AG85" s="38"/>
      <c r="AH85" s="38"/>
      <c r="AI85" s="38" t="str">
        <f>IFERROR(__xludf.DUMMYFUNCTION("""COMPUTED_VALUE"""),"6. RAWAT JALAN")</f>
        <v>6. RAWAT JALAN</v>
      </c>
      <c r="AJ85" s="38"/>
      <c r="AK85" s="38"/>
      <c r="AL85" s="38"/>
      <c r="AM85" s="38"/>
      <c r="AN85" s="38" t="str">
        <f>IFERROR(__xludf.DUMMYFUNCTION("""COMPUTED_VALUE"""),"AKTIF")</f>
        <v>AKTIF</v>
      </c>
    </row>
    <row r="86" ht="12.75" spans="1:40">
      <c r="A86" s="38">
        <f>IFERROR(__xludf.DUMMYFUNCTION("""COMPUTED_VALUE"""),85)</f>
        <v>85</v>
      </c>
      <c r="B86" s="38" t="str">
        <f>IFERROR(__xludf.DUMMYFUNCTION("""COMPUTED_VALUE"""),"Apt. Sayyidah Nur Fathimah, S.Farm")</f>
        <v>Apt. Sayyidah Nur Fathimah, S.Farm</v>
      </c>
      <c r="C86" s="38" t="str">
        <f>IFERROR(__xludf.DUMMYFUNCTION("""COMPUTED_VALUE"""),"a@gmail.com")</f>
        <v>a@gmail.com</v>
      </c>
      <c r="D86" s="38" t="str">
        <f>IFERROR(__xludf.DUMMYFUNCTION("""COMPUTED_VALUE"""),"B200208202026032038")</f>
        <v>B200208202026032038</v>
      </c>
      <c r="E86" s="38"/>
      <c r="F86" s="38" t="str">
        <f>IFERROR(__xludf.DUMMYFUNCTION("""COMPUTED_VALUE"""),"P")</f>
        <v>P</v>
      </c>
      <c r="G86" s="38" t="str">
        <f>IFERROR(__xludf.DUMMYFUNCTION("""COMPUTED_VALUE"""),"Tenggarong")</f>
        <v>Tenggarong</v>
      </c>
      <c r="H86" s="38"/>
      <c r="I86" s="38"/>
      <c r="J86" s="38" t="str">
        <f>IFERROR(__xludf.DUMMYFUNCTION("""COMPUTED_VALUE"""),"S1 APOTEKER")</f>
        <v>S1 APOTEKER</v>
      </c>
      <c r="K86" s="38"/>
      <c r="L86" s="38"/>
      <c r="M86" s="38" t="str">
        <f>IFERROR(__xludf.DUMMYFUNCTION("""COMPUTED_VALUE"""),"APOTEKER")</f>
        <v>APOTEKER</v>
      </c>
      <c r="N86" s="39">
        <f>IFERROR(__xludf.DUMMYFUNCTION("""COMPUTED_VALUE"""),46097)</f>
        <v>46097</v>
      </c>
      <c r="O86" s="39">
        <f>IFERROR(__xludf.DUMMYFUNCTION("""COMPUTED_VALUE"""),46211.4145195601)</f>
        <v>46211.4145195601</v>
      </c>
      <c r="P86" s="38" t="str">
        <f>IFERROR(__xludf.DUMMYFUNCTION("""COMPUTED_VALUE"""),"0 Tahun3 Bulan")</f>
        <v>0 Tahun3 Bulan</v>
      </c>
      <c r="Q86" s="38"/>
      <c r="R86" s="38" t="str">
        <f>IFERROR(__xludf.DUMMYFUNCTION("""COMPUTED_VALUE"""),"BLUD")</f>
        <v>BLUD</v>
      </c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 t="str">
        <f>IFERROR(__xludf.DUMMYFUNCTION("""COMPUTED_VALUE"""),"5. RAWAT INAP")</f>
        <v>5. RAWAT INAP</v>
      </c>
      <c r="AJ86" s="38"/>
      <c r="AK86" s="38"/>
      <c r="AL86" s="38"/>
      <c r="AM86" s="38"/>
      <c r="AN86" s="38" t="str">
        <f>IFERROR(__xludf.DUMMYFUNCTION("""COMPUTED_VALUE"""),"AKTIF")</f>
        <v>AKTIF</v>
      </c>
    </row>
    <row r="87" ht="12.75" spans="1:40">
      <c r="A87" s="38">
        <f>IFERROR(__xludf.DUMMYFUNCTION("""COMPUTED_VALUE"""),86)</f>
        <v>86</v>
      </c>
      <c r="B87" s="38" t="str">
        <f>IFERROR(__xludf.DUMMYFUNCTION("""COMPUTED_VALUE"""),"Nur Assyifa Jamiati, A.Md.Farm")</f>
        <v>Nur Assyifa Jamiati, A.Md.Farm</v>
      </c>
      <c r="C87" s="38" t="str">
        <f>IFERROR(__xludf.DUMMYFUNCTION("""COMPUTED_VALUE"""),"a@gmail.com")</f>
        <v>a@gmail.com</v>
      </c>
      <c r="D87" s="38" t="str">
        <f>IFERROR(__xludf.DUMMYFUNCTION("""COMPUTED_VALUE"""),"B199510062026032039")</f>
        <v>B199510062026032039</v>
      </c>
      <c r="E87" s="38"/>
      <c r="F87" s="38" t="str">
        <f>IFERROR(__xludf.DUMMYFUNCTION("""COMPUTED_VALUE"""),"P")</f>
        <v>P</v>
      </c>
      <c r="G87" s="38" t="str">
        <f>IFERROR(__xludf.DUMMYFUNCTION("""COMPUTED_VALUE"""),"Tenggarong")</f>
        <v>Tenggarong</v>
      </c>
      <c r="H87" s="38"/>
      <c r="I87" s="38"/>
      <c r="J87" s="38" t="str">
        <f>IFERROR(__xludf.DUMMYFUNCTION("""COMPUTED_VALUE"""),"D3 FARMASI")</f>
        <v>D3 FARMASI</v>
      </c>
      <c r="K87" s="38"/>
      <c r="L87" s="38"/>
      <c r="M87" s="38" t="str">
        <f>IFERROR(__xludf.DUMMYFUNCTION("""COMPUTED_VALUE"""),"TTK")</f>
        <v>TTK</v>
      </c>
      <c r="N87" s="39">
        <f>IFERROR(__xludf.DUMMYFUNCTION("""COMPUTED_VALUE"""),46097)</f>
        <v>46097</v>
      </c>
      <c r="O87" s="39">
        <f>IFERROR(__xludf.DUMMYFUNCTION("""COMPUTED_VALUE"""),46211.4145195601)</f>
        <v>46211.4145195601</v>
      </c>
      <c r="P87" s="38" t="str">
        <f>IFERROR(__xludf.DUMMYFUNCTION("""COMPUTED_VALUE"""),"0 Tahun3 Bulan")</f>
        <v>0 Tahun3 Bulan</v>
      </c>
      <c r="Q87" s="38"/>
      <c r="R87" s="38" t="str">
        <f>IFERROR(__xludf.DUMMYFUNCTION("""COMPUTED_VALUE"""),"BLUD")</f>
        <v>BLUD</v>
      </c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 t="str">
        <f>IFERROR(__xludf.DUMMYFUNCTION("""COMPUTED_VALUE"""),"6. RAWAT JALAN")</f>
        <v>6. RAWAT JALAN</v>
      </c>
      <c r="AJ87" s="38"/>
      <c r="AK87" s="38"/>
      <c r="AL87" s="38"/>
      <c r="AM87" s="38"/>
      <c r="AN87" s="38" t="str">
        <f>IFERROR(__xludf.DUMMYFUNCTION("""COMPUTED_VALUE"""),"AKTIF")</f>
        <v>AKTIF</v>
      </c>
    </row>
    <row r="88" ht="12.75" spans="1:40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 ht="12.75" spans="1:40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ht="12.75" spans="1:4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</row>
    <row r="91" ht="12.75" spans="1:40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 ht="12.75" spans="1:40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 ht="12.75" spans="1:40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ht="12.75" spans="1:40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ht="12.75" spans="1:40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ht="12.75" spans="1:40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ht="12.75" spans="1:40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ht="12.75" spans="1:40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ht="12.75" spans="1:40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ht="12.75" spans="1:4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5714285714" defaultRowHeight="15.75" customHeight="1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88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12.6285714285714" defaultRowHeight="15.75" customHeight="1"/>
  <cols>
    <col min="1" max="1" width="32.3809523809524" customWidth="1"/>
    <col min="3" max="33" width="7.75238095238095" customWidth="1"/>
    <col min="34" max="34" width="20.5047619047619" customWidth="1"/>
  </cols>
  <sheetData>
    <row r="1" customHeight="1" spans="1:34">
      <c r="A1" s="23" t="s">
        <v>0</v>
      </c>
      <c r="B1" s="24" t="s">
        <v>1</v>
      </c>
      <c r="C1" s="25">
        <v>46174</v>
      </c>
      <c r="D1" s="25">
        <v>46175</v>
      </c>
      <c r="E1" s="25">
        <v>46176</v>
      </c>
      <c r="F1" s="25">
        <v>46177</v>
      </c>
      <c r="G1" s="25">
        <v>46178</v>
      </c>
      <c r="H1" s="25">
        <v>46179</v>
      </c>
      <c r="I1" s="25">
        <v>46180</v>
      </c>
      <c r="J1" s="25">
        <v>46181</v>
      </c>
      <c r="K1" s="25">
        <v>46182</v>
      </c>
      <c r="L1" s="25">
        <v>46183</v>
      </c>
      <c r="M1" s="25">
        <v>46184</v>
      </c>
      <c r="N1" s="25">
        <v>46185</v>
      </c>
      <c r="O1" s="25">
        <v>46186</v>
      </c>
      <c r="P1" s="25">
        <v>46187</v>
      </c>
      <c r="Q1" s="25">
        <v>46188</v>
      </c>
      <c r="R1" s="25">
        <v>46189</v>
      </c>
      <c r="S1" s="25">
        <v>46190</v>
      </c>
      <c r="T1" s="25">
        <v>46191</v>
      </c>
      <c r="U1" s="25">
        <v>46192</v>
      </c>
      <c r="V1" s="25">
        <v>46193</v>
      </c>
      <c r="W1" s="25">
        <v>46194</v>
      </c>
      <c r="X1" s="25">
        <v>46195</v>
      </c>
      <c r="Y1" s="25">
        <v>46196</v>
      </c>
      <c r="Z1" s="25">
        <v>46197</v>
      </c>
      <c r="AA1" s="25">
        <v>46198</v>
      </c>
      <c r="AB1" s="25">
        <v>46199</v>
      </c>
      <c r="AC1" s="25">
        <v>46200</v>
      </c>
      <c r="AD1" s="25">
        <v>46201</v>
      </c>
      <c r="AE1" s="25">
        <v>46202</v>
      </c>
      <c r="AF1" s="25">
        <v>46203</v>
      </c>
      <c r="AG1" s="25"/>
      <c r="AH1" s="26" t="s">
        <v>2</v>
      </c>
    </row>
    <row r="2" customHeight="1" spans="1:34">
      <c r="A2" s="27" t="s">
        <v>3</v>
      </c>
      <c r="B2" s="28" t="s">
        <v>4</v>
      </c>
      <c r="C2" s="29" t="s">
        <v>5</v>
      </c>
      <c r="D2" s="30" t="s">
        <v>6</v>
      </c>
      <c r="E2" s="30" t="s">
        <v>6</v>
      </c>
      <c r="F2" s="31" t="s">
        <v>6</v>
      </c>
      <c r="G2" s="31" t="s">
        <v>6</v>
      </c>
      <c r="H2" s="30" t="s">
        <v>6</v>
      </c>
      <c r="I2" s="30" t="s">
        <v>5</v>
      </c>
      <c r="J2" s="29" t="s">
        <v>6</v>
      </c>
      <c r="K2" s="30" t="s">
        <v>6</v>
      </c>
      <c r="L2" s="30" t="s">
        <v>6</v>
      </c>
      <c r="M2" s="30" t="s">
        <v>6</v>
      </c>
      <c r="N2" s="30" t="s">
        <v>6</v>
      </c>
      <c r="O2" s="30" t="s">
        <v>5</v>
      </c>
      <c r="P2" s="29" t="s">
        <v>5</v>
      </c>
      <c r="Q2" s="29" t="s">
        <v>6</v>
      </c>
      <c r="R2" s="29" t="s">
        <v>5</v>
      </c>
      <c r="S2" s="29" t="s">
        <v>6</v>
      </c>
      <c r="T2" s="30" t="s">
        <v>6</v>
      </c>
      <c r="U2" s="31" t="s">
        <v>6</v>
      </c>
      <c r="V2" s="30" t="s">
        <v>6</v>
      </c>
      <c r="W2" s="29" t="s">
        <v>5</v>
      </c>
      <c r="X2" s="29" t="s">
        <v>6</v>
      </c>
      <c r="Y2" s="30" t="s">
        <v>6</v>
      </c>
      <c r="Z2" s="30" t="s">
        <v>6</v>
      </c>
      <c r="AA2" s="31" t="s">
        <v>6</v>
      </c>
      <c r="AB2" s="30" t="s">
        <v>6</v>
      </c>
      <c r="AC2" s="30" t="s">
        <v>6</v>
      </c>
      <c r="AD2" s="29" t="s">
        <v>5</v>
      </c>
      <c r="AE2" s="29" t="s">
        <v>6</v>
      </c>
      <c r="AF2" s="29" t="s">
        <v>6</v>
      </c>
      <c r="AG2" s="29"/>
      <c r="AH2" s="32" t="s">
        <v>7</v>
      </c>
    </row>
    <row r="3" customHeight="1" spans="1:34">
      <c r="A3" s="27" t="s">
        <v>8</v>
      </c>
      <c r="B3" s="28" t="s">
        <v>4</v>
      </c>
      <c r="C3" s="29" t="s">
        <v>5</v>
      </c>
      <c r="D3" s="30" t="s">
        <v>6</v>
      </c>
      <c r="E3" s="30" t="s">
        <v>6</v>
      </c>
      <c r="F3" s="30" t="s">
        <v>9</v>
      </c>
      <c r="G3" s="30" t="s">
        <v>6</v>
      </c>
      <c r="H3" s="31" t="s">
        <v>5</v>
      </c>
      <c r="I3" s="29" t="s">
        <v>5</v>
      </c>
      <c r="J3" s="29" t="s">
        <v>6</v>
      </c>
      <c r="K3" s="31" t="s">
        <v>9</v>
      </c>
      <c r="L3" s="30" t="s">
        <v>6</v>
      </c>
      <c r="M3" s="31" t="s">
        <v>6</v>
      </c>
      <c r="N3" s="30" t="s">
        <v>6</v>
      </c>
      <c r="O3" s="30" t="s">
        <v>5</v>
      </c>
      <c r="P3" s="30" t="s">
        <v>5</v>
      </c>
      <c r="Q3" s="29" t="s">
        <v>6</v>
      </c>
      <c r="R3" s="29" t="s">
        <v>5</v>
      </c>
      <c r="S3" s="29" t="s">
        <v>9</v>
      </c>
      <c r="T3" s="30" t="s">
        <v>6</v>
      </c>
      <c r="U3" s="30" t="s">
        <v>6</v>
      </c>
      <c r="V3" s="30" t="s">
        <v>6</v>
      </c>
      <c r="W3" s="29" t="s">
        <v>5</v>
      </c>
      <c r="X3" s="29" t="s">
        <v>9</v>
      </c>
      <c r="Y3" s="31" t="s">
        <v>6</v>
      </c>
      <c r="Z3" s="30" t="s">
        <v>6</v>
      </c>
      <c r="AA3" s="30" t="s">
        <v>6</v>
      </c>
      <c r="AB3" s="30" t="s">
        <v>6</v>
      </c>
      <c r="AC3" s="30" t="s">
        <v>5</v>
      </c>
      <c r="AD3" s="29" t="s">
        <v>5</v>
      </c>
      <c r="AE3" s="29" t="s">
        <v>9</v>
      </c>
      <c r="AF3" s="29" t="s">
        <v>6</v>
      </c>
      <c r="AG3" s="29"/>
      <c r="AH3" s="32" t="s">
        <v>10</v>
      </c>
    </row>
    <row r="4" customHeight="1" spans="1:34">
      <c r="A4" s="27" t="s">
        <v>11</v>
      </c>
      <c r="B4" s="28" t="s">
        <v>12</v>
      </c>
      <c r="C4" s="29" t="s">
        <v>5</v>
      </c>
      <c r="D4" s="30" t="s">
        <v>6</v>
      </c>
      <c r="E4" s="30" t="s">
        <v>9</v>
      </c>
      <c r="F4" s="30" t="s">
        <v>6</v>
      </c>
      <c r="G4" s="30" t="s">
        <v>6</v>
      </c>
      <c r="H4" s="30" t="s">
        <v>5</v>
      </c>
      <c r="I4" s="29" t="s">
        <v>5</v>
      </c>
      <c r="J4" s="29" t="s">
        <v>6</v>
      </c>
      <c r="K4" s="30" t="s">
        <v>6</v>
      </c>
      <c r="L4" s="31" t="s">
        <v>6</v>
      </c>
      <c r="M4" s="30" t="s">
        <v>9</v>
      </c>
      <c r="N4" s="30" t="s">
        <v>6</v>
      </c>
      <c r="O4" s="31" t="s">
        <v>5</v>
      </c>
      <c r="P4" s="29" t="s">
        <v>5</v>
      </c>
      <c r="Q4" s="29" t="s">
        <v>6</v>
      </c>
      <c r="R4" s="29" t="s">
        <v>5</v>
      </c>
      <c r="S4" s="29" t="s">
        <v>6</v>
      </c>
      <c r="T4" s="31" t="s">
        <v>6</v>
      </c>
      <c r="U4" s="30" t="s">
        <v>9</v>
      </c>
      <c r="V4" s="30" t="s">
        <v>5</v>
      </c>
      <c r="W4" s="29" t="s">
        <v>5</v>
      </c>
      <c r="X4" s="29" t="s">
        <v>6</v>
      </c>
      <c r="Y4" s="30" t="s">
        <v>6</v>
      </c>
      <c r="Z4" s="31" t="s">
        <v>6</v>
      </c>
      <c r="AA4" s="30" t="s">
        <v>6</v>
      </c>
      <c r="AB4" s="31" t="s">
        <v>6</v>
      </c>
      <c r="AC4" s="30" t="s">
        <v>6</v>
      </c>
      <c r="AD4" s="30" t="s">
        <v>5</v>
      </c>
      <c r="AE4" s="30" t="s">
        <v>6</v>
      </c>
      <c r="AF4" s="30" t="s">
        <v>6</v>
      </c>
      <c r="AG4" s="30"/>
      <c r="AH4" s="32" t="s">
        <v>10</v>
      </c>
    </row>
    <row r="5" customHeight="1" spans="1:34">
      <c r="A5" s="27" t="s">
        <v>13</v>
      </c>
      <c r="B5" s="28" t="s">
        <v>14</v>
      </c>
      <c r="C5" s="29" t="s">
        <v>5</v>
      </c>
      <c r="D5" s="30" t="s">
        <v>6</v>
      </c>
      <c r="E5" s="30" t="s">
        <v>6</v>
      </c>
      <c r="F5" s="31" t="s">
        <v>6</v>
      </c>
      <c r="G5" s="30" t="s">
        <v>9</v>
      </c>
      <c r="H5" s="30" t="s">
        <v>5</v>
      </c>
      <c r="I5" s="29" t="s">
        <v>5</v>
      </c>
      <c r="J5" s="29" t="s">
        <v>6</v>
      </c>
      <c r="K5" s="30" t="s">
        <v>6</v>
      </c>
      <c r="L5" s="30" t="s">
        <v>6</v>
      </c>
      <c r="M5" s="30" t="s">
        <v>6</v>
      </c>
      <c r="N5" s="31" t="s">
        <v>9</v>
      </c>
      <c r="O5" s="30" t="s">
        <v>6</v>
      </c>
      <c r="P5" s="30" t="s">
        <v>5</v>
      </c>
      <c r="Q5" s="29" t="s">
        <v>9</v>
      </c>
      <c r="R5" s="29" t="s">
        <v>5</v>
      </c>
      <c r="S5" s="29" t="s">
        <v>6</v>
      </c>
      <c r="T5" s="30" t="s">
        <v>6</v>
      </c>
      <c r="U5" s="30" t="s">
        <v>6</v>
      </c>
      <c r="V5" s="31" t="s">
        <v>5</v>
      </c>
      <c r="W5" s="30" t="s">
        <v>5</v>
      </c>
      <c r="X5" s="29" t="s">
        <v>6</v>
      </c>
      <c r="Y5" s="30" t="s">
        <v>6</v>
      </c>
      <c r="Z5" s="30" t="s">
        <v>6</v>
      </c>
      <c r="AA5" s="30" t="s">
        <v>9</v>
      </c>
      <c r="AB5" s="30" t="s">
        <v>6</v>
      </c>
      <c r="AC5" s="31" t="s">
        <v>5</v>
      </c>
      <c r="AD5" s="29" t="s">
        <v>5</v>
      </c>
      <c r="AE5" s="29" t="s">
        <v>6</v>
      </c>
      <c r="AF5" s="29" t="s">
        <v>9</v>
      </c>
      <c r="AG5" s="29"/>
      <c r="AH5" s="32" t="s">
        <v>10</v>
      </c>
    </row>
    <row r="6" customHeight="1" spans="1:34">
      <c r="A6" s="27" t="s">
        <v>15</v>
      </c>
      <c r="B6" s="28" t="s">
        <v>4</v>
      </c>
      <c r="C6" s="29" t="s">
        <v>6</v>
      </c>
      <c r="D6" s="31" t="s">
        <v>6</v>
      </c>
      <c r="E6" s="31" t="s">
        <v>6</v>
      </c>
      <c r="F6" s="30" t="s">
        <v>9</v>
      </c>
      <c r="G6" s="30" t="s">
        <v>6</v>
      </c>
      <c r="H6" s="30" t="s">
        <v>5</v>
      </c>
      <c r="I6" s="29" t="s">
        <v>5</v>
      </c>
      <c r="J6" s="29" t="s">
        <v>6</v>
      </c>
      <c r="K6" s="30" t="s">
        <v>9</v>
      </c>
      <c r="L6" s="30" t="s">
        <v>6</v>
      </c>
      <c r="M6" s="30" t="s">
        <v>6</v>
      </c>
      <c r="N6" s="31" t="s">
        <v>6</v>
      </c>
      <c r="O6" s="30" t="s">
        <v>6</v>
      </c>
      <c r="P6" s="29" t="s">
        <v>5</v>
      </c>
      <c r="Q6" s="29" t="s">
        <v>6</v>
      </c>
      <c r="R6" s="29" t="s">
        <v>5</v>
      </c>
      <c r="S6" s="29" t="s">
        <v>6</v>
      </c>
      <c r="T6" s="30" t="s">
        <v>9</v>
      </c>
      <c r="U6" s="30" t="s">
        <v>6</v>
      </c>
      <c r="V6" s="31" t="s">
        <v>5</v>
      </c>
      <c r="W6" s="30" t="s">
        <v>5</v>
      </c>
      <c r="X6" s="29" t="s">
        <v>6</v>
      </c>
      <c r="Y6" s="30" t="s">
        <v>6</v>
      </c>
      <c r="Z6" s="30" t="s">
        <v>9</v>
      </c>
      <c r="AA6" s="30" t="s">
        <v>6</v>
      </c>
      <c r="AB6" s="30" t="s">
        <v>6</v>
      </c>
      <c r="AC6" s="31" t="s">
        <v>5</v>
      </c>
      <c r="AD6" s="29" t="s">
        <v>5</v>
      </c>
      <c r="AE6" s="29" t="s">
        <v>6</v>
      </c>
      <c r="AF6" s="29" t="s">
        <v>6</v>
      </c>
      <c r="AG6" s="29"/>
      <c r="AH6" s="32" t="s">
        <v>10</v>
      </c>
    </row>
    <row r="7" customHeight="1" spans="1:34">
      <c r="A7" s="27" t="s">
        <v>16</v>
      </c>
      <c r="B7" s="28" t="s">
        <v>4</v>
      </c>
      <c r="C7" s="29" t="s">
        <v>5</v>
      </c>
      <c r="D7" s="30" t="s">
        <v>9</v>
      </c>
      <c r="E7" s="30" t="s">
        <v>6</v>
      </c>
      <c r="F7" s="30" t="s">
        <v>6</v>
      </c>
      <c r="G7" s="30" t="s">
        <v>6</v>
      </c>
      <c r="H7" s="30" t="s">
        <v>6</v>
      </c>
      <c r="I7" s="30" t="s">
        <v>5</v>
      </c>
      <c r="J7" s="29" t="s">
        <v>6</v>
      </c>
      <c r="K7" s="30" t="s">
        <v>6</v>
      </c>
      <c r="L7" s="30" t="s">
        <v>9</v>
      </c>
      <c r="M7" s="30" t="s">
        <v>6</v>
      </c>
      <c r="N7" s="30" t="s">
        <v>6</v>
      </c>
      <c r="O7" s="30" t="s">
        <v>5</v>
      </c>
      <c r="P7" s="29" t="s">
        <v>5</v>
      </c>
      <c r="Q7" s="29" t="s">
        <v>6</v>
      </c>
      <c r="R7" s="30" t="s">
        <v>5</v>
      </c>
      <c r="S7" s="29" t="s">
        <v>6</v>
      </c>
      <c r="T7" s="30" t="s">
        <v>9</v>
      </c>
      <c r="U7" s="30" t="s">
        <v>6</v>
      </c>
      <c r="V7" s="30" t="s">
        <v>5</v>
      </c>
      <c r="W7" s="30" t="s">
        <v>5</v>
      </c>
      <c r="X7" s="29" t="s">
        <v>6</v>
      </c>
      <c r="Y7" s="30" t="s">
        <v>9</v>
      </c>
      <c r="Z7" s="30" t="s">
        <v>6</v>
      </c>
      <c r="AA7" s="30" t="s">
        <v>6</v>
      </c>
      <c r="AB7" s="30" t="s">
        <v>6</v>
      </c>
      <c r="AC7" s="30" t="s">
        <v>5</v>
      </c>
      <c r="AD7" s="29" t="s">
        <v>5</v>
      </c>
      <c r="AE7" s="29" t="s">
        <v>6</v>
      </c>
      <c r="AF7" s="29" t="s">
        <v>6</v>
      </c>
      <c r="AG7" s="29"/>
      <c r="AH7" s="32" t="s">
        <v>10</v>
      </c>
    </row>
    <row r="8" customHeight="1" spans="1:34">
      <c r="A8" s="27" t="s">
        <v>17</v>
      </c>
      <c r="B8" s="28" t="s">
        <v>12</v>
      </c>
      <c r="C8" s="29" t="s">
        <v>5</v>
      </c>
      <c r="D8" s="30" t="s">
        <v>6</v>
      </c>
      <c r="E8" s="30" t="s">
        <v>6</v>
      </c>
      <c r="F8" s="30" t="s">
        <v>6</v>
      </c>
      <c r="G8" s="33" t="s">
        <v>6</v>
      </c>
      <c r="H8" s="29" t="s">
        <v>6</v>
      </c>
      <c r="I8" s="30" t="s">
        <v>5</v>
      </c>
      <c r="J8" s="29" t="s">
        <v>6</v>
      </c>
      <c r="K8" s="30" t="s">
        <v>6</v>
      </c>
      <c r="L8" s="30" t="s">
        <v>6</v>
      </c>
      <c r="M8" s="30" t="s">
        <v>6</v>
      </c>
      <c r="N8" s="30" t="s">
        <v>6</v>
      </c>
      <c r="O8" s="30" t="s">
        <v>5</v>
      </c>
      <c r="P8" s="29" t="s">
        <v>6</v>
      </c>
      <c r="Q8" s="30" t="s">
        <v>18</v>
      </c>
      <c r="R8" s="30" t="s">
        <v>5</v>
      </c>
      <c r="S8" s="30" t="s">
        <v>6</v>
      </c>
      <c r="T8" s="30" t="s">
        <v>6</v>
      </c>
      <c r="U8" s="33" t="s">
        <v>6</v>
      </c>
      <c r="V8" s="29" t="s">
        <v>6</v>
      </c>
      <c r="W8" s="29" t="s">
        <v>5</v>
      </c>
      <c r="X8" s="30" t="s">
        <v>6</v>
      </c>
      <c r="Y8" s="31" t="s">
        <v>6</v>
      </c>
      <c r="Z8" s="30" t="s">
        <v>6</v>
      </c>
      <c r="AA8" s="30" t="s">
        <v>6</v>
      </c>
      <c r="AB8" s="30" t="s">
        <v>18</v>
      </c>
      <c r="AC8" s="30" t="s">
        <v>5</v>
      </c>
      <c r="AD8" s="29" t="s">
        <v>5</v>
      </c>
      <c r="AE8" s="29" t="s">
        <v>6</v>
      </c>
      <c r="AF8" s="29" t="s">
        <v>6</v>
      </c>
      <c r="AG8" s="29"/>
      <c r="AH8" s="32" t="s">
        <v>10</v>
      </c>
    </row>
    <row r="9" customHeight="1" spans="1:34">
      <c r="A9" s="27" t="s">
        <v>19</v>
      </c>
      <c r="B9" s="28" t="s">
        <v>12</v>
      </c>
      <c r="C9" s="30" t="s">
        <v>5</v>
      </c>
      <c r="D9" s="30" t="s">
        <v>6</v>
      </c>
      <c r="E9" s="30" t="s">
        <v>6</v>
      </c>
      <c r="F9" s="30" t="s">
        <v>6</v>
      </c>
      <c r="G9" s="30" t="s">
        <v>6</v>
      </c>
      <c r="H9" s="31" t="s">
        <v>6</v>
      </c>
      <c r="I9" s="29" t="s">
        <v>5</v>
      </c>
      <c r="J9" s="29" t="s">
        <v>6</v>
      </c>
      <c r="K9" s="30" t="s">
        <v>6</v>
      </c>
      <c r="L9" s="30" t="s">
        <v>18</v>
      </c>
      <c r="M9" s="30" t="s">
        <v>9</v>
      </c>
      <c r="N9" s="30" t="s">
        <v>6</v>
      </c>
      <c r="O9" s="30" t="s">
        <v>5</v>
      </c>
      <c r="P9" s="30" t="s">
        <v>6</v>
      </c>
      <c r="Q9" s="29" t="s">
        <v>6</v>
      </c>
      <c r="R9" s="29" t="s">
        <v>5</v>
      </c>
      <c r="S9" s="29" t="s">
        <v>6</v>
      </c>
      <c r="T9" s="30" t="s">
        <v>18</v>
      </c>
      <c r="U9" s="30" t="s">
        <v>9</v>
      </c>
      <c r="V9" s="30" t="s">
        <v>5</v>
      </c>
      <c r="W9" s="30" t="s">
        <v>6</v>
      </c>
      <c r="X9" s="29" t="s">
        <v>6</v>
      </c>
      <c r="Y9" s="30" t="s">
        <v>6</v>
      </c>
      <c r="Z9" s="33" t="s">
        <v>6</v>
      </c>
      <c r="AA9" s="31" t="s">
        <v>6</v>
      </c>
      <c r="AB9" s="30" t="s">
        <v>6</v>
      </c>
      <c r="AC9" s="30" t="s">
        <v>5</v>
      </c>
      <c r="AD9" s="29" t="s">
        <v>5</v>
      </c>
      <c r="AE9" s="29" t="s">
        <v>6</v>
      </c>
      <c r="AF9" s="29" t="s">
        <v>6</v>
      </c>
      <c r="AG9" s="29"/>
      <c r="AH9" s="32" t="s">
        <v>10</v>
      </c>
    </row>
    <row r="10" customHeight="1" spans="1:34">
      <c r="A10" s="34" t="s">
        <v>20</v>
      </c>
      <c r="B10" s="23" t="s">
        <v>12</v>
      </c>
      <c r="C10" s="29" t="s">
        <v>21</v>
      </c>
      <c r="D10" s="30" t="s">
        <v>21</v>
      </c>
      <c r="E10" s="30" t="s">
        <v>21</v>
      </c>
      <c r="F10" s="30" t="s">
        <v>21</v>
      </c>
      <c r="G10" s="30" t="s">
        <v>21</v>
      </c>
      <c r="H10" s="30" t="s">
        <v>21</v>
      </c>
      <c r="I10" s="29" t="s">
        <v>21</v>
      </c>
      <c r="J10" s="29" t="s">
        <v>21</v>
      </c>
      <c r="K10" s="30" t="s">
        <v>21</v>
      </c>
      <c r="L10" s="30" t="s">
        <v>21</v>
      </c>
      <c r="M10" s="30" t="s">
        <v>21</v>
      </c>
      <c r="N10" s="30" t="s">
        <v>21</v>
      </c>
      <c r="O10" s="30" t="s">
        <v>21</v>
      </c>
      <c r="P10" s="33" t="s">
        <v>21</v>
      </c>
      <c r="Q10" s="29" t="s">
        <v>21</v>
      </c>
      <c r="R10" s="29" t="s">
        <v>21</v>
      </c>
      <c r="S10" s="33" t="s">
        <v>21</v>
      </c>
      <c r="T10" s="31" t="s">
        <v>21</v>
      </c>
      <c r="U10" s="30" t="s">
        <v>21</v>
      </c>
      <c r="V10" s="30" t="s">
        <v>21</v>
      </c>
      <c r="W10" s="30" t="s">
        <v>21</v>
      </c>
      <c r="X10" s="29" t="s">
        <v>21</v>
      </c>
      <c r="Y10" s="30" t="s">
        <v>21</v>
      </c>
      <c r="Z10" s="30" t="s">
        <v>21</v>
      </c>
      <c r="AA10" s="30" t="s">
        <v>21</v>
      </c>
      <c r="AB10" s="30" t="s">
        <v>21</v>
      </c>
      <c r="AC10" s="30" t="s">
        <v>21</v>
      </c>
      <c r="AD10" s="29" t="s">
        <v>21</v>
      </c>
      <c r="AE10" s="29" t="s">
        <v>21</v>
      </c>
      <c r="AF10" s="29" t="s">
        <v>21</v>
      </c>
      <c r="AG10" s="29"/>
      <c r="AH10" s="32" t="s">
        <v>10</v>
      </c>
    </row>
    <row r="11" customHeight="1" spans="1:34">
      <c r="A11" s="34" t="s">
        <v>22</v>
      </c>
      <c r="B11" s="23" t="s">
        <v>12</v>
      </c>
      <c r="C11" s="29" t="s">
        <v>6</v>
      </c>
      <c r="D11" s="30" t="s">
        <v>18</v>
      </c>
      <c r="E11" s="30" t="s">
        <v>9</v>
      </c>
      <c r="F11" s="30" t="s">
        <v>6</v>
      </c>
      <c r="G11" s="30" t="s">
        <v>5</v>
      </c>
      <c r="H11" s="30" t="s">
        <v>5</v>
      </c>
      <c r="I11" s="29" t="s">
        <v>6</v>
      </c>
      <c r="J11" s="30" t="s">
        <v>18</v>
      </c>
      <c r="K11" s="30" t="s">
        <v>9</v>
      </c>
      <c r="L11" s="31" t="s">
        <v>6</v>
      </c>
      <c r="M11" s="30" t="s">
        <v>6</v>
      </c>
      <c r="N11" s="30" t="s">
        <v>6</v>
      </c>
      <c r="O11" s="30" t="s">
        <v>5</v>
      </c>
      <c r="P11" s="29" t="s">
        <v>5</v>
      </c>
      <c r="Q11" s="29" t="s">
        <v>6</v>
      </c>
      <c r="R11" s="30" t="s">
        <v>6</v>
      </c>
      <c r="S11" s="29" t="s">
        <v>6</v>
      </c>
      <c r="T11" s="30" t="s">
        <v>6</v>
      </c>
      <c r="U11" s="30" t="s">
        <v>6</v>
      </c>
      <c r="V11" s="30" t="s">
        <v>18</v>
      </c>
      <c r="W11" s="29" t="s">
        <v>5</v>
      </c>
      <c r="X11" s="29" t="s">
        <v>9</v>
      </c>
      <c r="Y11" s="30" t="s">
        <v>6</v>
      </c>
      <c r="Z11" s="30" t="s">
        <v>6</v>
      </c>
      <c r="AA11" s="33" t="s">
        <v>6</v>
      </c>
      <c r="AB11" s="31" t="s">
        <v>6</v>
      </c>
      <c r="AC11" s="30" t="s">
        <v>6</v>
      </c>
      <c r="AD11" s="30" t="s">
        <v>5</v>
      </c>
      <c r="AE11" s="30" t="s">
        <v>18</v>
      </c>
      <c r="AF11" s="30" t="s">
        <v>5</v>
      </c>
      <c r="AG11" s="30"/>
      <c r="AH11" s="32" t="s">
        <v>10</v>
      </c>
    </row>
    <row r="12" customHeight="1" spans="1:34">
      <c r="A12" s="34" t="s">
        <v>23</v>
      </c>
      <c r="B12" s="23" t="s">
        <v>4</v>
      </c>
      <c r="C12" s="29" t="s">
        <v>5</v>
      </c>
      <c r="D12" s="30" t="s">
        <v>6</v>
      </c>
      <c r="E12" s="30" t="s">
        <v>6</v>
      </c>
      <c r="F12" s="30" t="s">
        <v>6</v>
      </c>
      <c r="G12" s="30" t="s">
        <v>6</v>
      </c>
      <c r="H12" s="30" t="s">
        <v>5</v>
      </c>
      <c r="I12" s="29" t="s">
        <v>5</v>
      </c>
      <c r="J12" s="29" t="s">
        <v>6</v>
      </c>
      <c r="K12" s="30" t="s">
        <v>6</v>
      </c>
      <c r="L12" s="30" t="s">
        <v>6</v>
      </c>
      <c r="M12" s="30" t="s">
        <v>6</v>
      </c>
      <c r="N12" s="30" t="s">
        <v>6</v>
      </c>
      <c r="O12" s="30" t="s">
        <v>5</v>
      </c>
      <c r="P12" s="29" t="s">
        <v>5</v>
      </c>
      <c r="Q12" s="29" t="s">
        <v>6</v>
      </c>
      <c r="R12" s="29" t="s">
        <v>5</v>
      </c>
      <c r="S12" s="29" t="s">
        <v>6</v>
      </c>
      <c r="T12" s="30" t="s">
        <v>6</v>
      </c>
      <c r="U12" s="30" t="s">
        <v>6</v>
      </c>
      <c r="V12" s="30" t="s">
        <v>5</v>
      </c>
      <c r="W12" s="29" t="s">
        <v>5</v>
      </c>
      <c r="X12" s="29" t="s">
        <v>6</v>
      </c>
      <c r="Y12" s="30" t="s">
        <v>6</v>
      </c>
      <c r="Z12" s="30" t="s">
        <v>6</v>
      </c>
      <c r="AA12" s="30" t="s">
        <v>6</v>
      </c>
      <c r="AB12" s="30" t="s">
        <v>6</v>
      </c>
      <c r="AC12" s="30" t="s">
        <v>5</v>
      </c>
      <c r="AD12" s="29" t="s">
        <v>5</v>
      </c>
      <c r="AE12" s="29" t="s">
        <v>6</v>
      </c>
      <c r="AF12" s="29" t="s">
        <v>6</v>
      </c>
      <c r="AG12" s="29"/>
      <c r="AH12" s="32" t="s">
        <v>10</v>
      </c>
    </row>
    <row r="13" customHeight="1" spans="1:34">
      <c r="A13" s="34" t="s">
        <v>24</v>
      </c>
      <c r="B13" s="23" t="s">
        <v>4</v>
      </c>
      <c r="C13" s="29" t="s">
        <v>5</v>
      </c>
      <c r="D13" s="30" t="s">
        <v>6</v>
      </c>
      <c r="E13" s="30" t="s">
        <v>6</v>
      </c>
      <c r="F13" s="30" t="s">
        <v>6</v>
      </c>
      <c r="G13" s="30" t="s">
        <v>6</v>
      </c>
      <c r="H13" s="30" t="s">
        <v>5</v>
      </c>
      <c r="I13" s="30" t="s">
        <v>5</v>
      </c>
      <c r="J13" s="29" t="s">
        <v>6</v>
      </c>
      <c r="K13" s="30" t="s">
        <v>6</v>
      </c>
      <c r="L13" s="30" t="s">
        <v>6</v>
      </c>
      <c r="M13" s="30" t="s">
        <v>6</v>
      </c>
      <c r="N13" s="30" t="s">
        <v>6</v>
      </c>
      <c r="O13" s="30" t="s">
        <v>6</v>
      </c>
      <c r="P13" s="29" t="s">
        <v>5</v>
      </c>
      <c r="Q13" s="29" t="s">
        <v>6</v>
      </c>
      <c r="R13" s="29" t="s">
        <v>5</v>
      </c>
      <c r="S13" s="29" t="s">
        <v>6</v>
      </c>
      <c r="T13" s="30" t="s">
        <v>6</v>
      </c>
      <c r="U13" s="30" t="s">
        <v>6</v>
      </c>
      <c r="V13" s="30" t="s">
        <v>5</v>
      </c>
      <c r="W13" s="29" t="s">
        <v>5</v>
      </c>
      <c r="X13" s="29" t="s">
        <v>6</v>
      </c>
      <c r="Y13" s="30" t="s">
        <v>6</v>
      </c>
      <c r="Z13" s="30" t="s">
        <v>6</v>
      </c>
      <c r="AA13" s="30" t="s">
        <v>6</v>
      </c>
      <c r="AB13" s="30" t="s">
        <v>6</v>
      </c>
      <c r="AC13" s="30" t="s">
        <v>5</v>
      </c>
      <c r="AD13" s="29" t="s">
        <v>5</v>
      </c>
      <c r="AE13" s="29" t="s">
        <v>6</v>
      </c>
      <c r="AF13" s="29" t="s">
        <v>6</v>
      </c>
      <c r="AG13" s="29"/>
      <c r="AH13" s="32" t="s">
        <v>10</v>
      </c>
    </row>
    <row r="14" customHeight="1" spans="1:34">
      <c r="A14" s="27" t="s">
        <v>25</v>
      </c>
      <c r="B14" s="23" t="s">
        <v>4</v>
      </c>
      <c r="C14" s="29" t="s">
        <v>18</v>
      </c>
      <c r="D14" s="30" t="s">
        <v>9</v>
      </c>
      <c r="E14" s="30" t="s">
        <v>18</v>
      </c>
      <c r="F14" s="33" t="s">
        <v>9</v>
      </c>
      <c r="G14" s="31" t="s">
        <v>6</v>
      </c>
      <c r="H14" s="33" t="s">
        <v>18</v>
      </c>
      <c r="I14" s="29" t="s">
        <v>5</v>
      </c>
      <c r="J14" s="30" t="s">
        <v>9</v>
      </c>
      <c r="K14" s="33" t="s">
        <v>18</v>
      </c>
      <c r="L14" s="30" t="s">
        <v>9</v>
      </c>
      <c r="M14" s="30" t="s">
        <v>5</v>
      </c>
      <c r="N14" s="33" t="s">
        <v>9</v>
      </c>
      <c r="O14" s="31" t="s">
        <v>18</v>
      </c>
      <c r="P14" s="29" t="s">
        <v>5</v>
      </c>
      <c r="Q14" s="29" t="s">
        <v>9</v>
      </c>
      <c r="R14" s="29" t="s">
        <v>6</v>
      </c>
      <c r="S14" s="30" t="s">
        <v>18</v>
      </c>
      <c r="T14" s="30" t="s">
        <v>9</v>
      </c>
      <c r="U14" s="30" t="s">
        <v>6</v>
      </c>
      <c r="V14" s="30" t="s">
        <v>5</v>
      </c>
      <c r="W14" s="30" t="s">
        <v>5</v>
      </c>
      <c r="X14" s="33" t="s">
        <v>18</v>
      </c>
      <c r="Y14" s="29" t="s">
        <v>9</v>
      </c>
      <c r="Z14" s="30" t="s">
        <v>9</v>
      </c>
      <c r="AA14" s="30" t="s">
        <v>18</v>
      </c>
      <c r="AB14" s="33" t="s">
        <v>9</v>
      </c>
      <c r="AC14" s="33" t="s">
        <v>6</v>
      </c>
      <c r="AD14" s="33" t="s">
        <v>5</v>
      </c>
      <c r="AE14" s="33" t="s">
        <v>6</v>
      </c>
      <c r="AF14" s="33" t="s">
        <v>18</v>
      </c>
      <c r="AG14" s="33"/>
      <c r="AH14" s="32" t="s">
        <v>10</v>
      </c>
    </row>
    <row r="15" customHeight="1" spans="1:34">
      <c r="A15" s="27" t="s">
        <v>26</v>
      </c>
      <c r="B15" s="23" t="s">
        <v>12</v>
      </c>
      <c r="C15" s="29" t="s">
        <v>6</v>
      </c>
      <c r="D15" s="30" t="s">
        <v>6</v>
      </c>
      <c r="E15" s="30" t="s">
        <v>6</v>
      </c>
      <c r="F15" s="30" t="s">
        <v>6</v>
      </c>
      <c r="G15" s="30" t="s">
        <v>6</v>
      </c>
      <c r="H15" s="30" t="s">
        <v>5</v>
      </c>
      <c r="I15" s="29" t="s">
        <v>5</v>
      </c>
      <c r="J15" s="29" t="s">
        <v>6</v>
      </c>
      <c r="K15" s="30" t="s">
        <v>6</v>
      </c>
      <c r="L15" s="30" t="s">
        <v>6</v>
      </c>
      <c r="M15" s="30" t="s">
        <v>6</v>
      </c>
      <c r="N15" s="30" t="s">
        <v>6</v>
      </c>
      <c r="O15" s="30" t="s">
        <v>6</v>
      </c>
      <c r="P15" s="30" t="s">
        <v>5</v>
      </c>
      <c r="Q15" s="29" t="s">
        <v>6</v>
      </c>
      <c r="R15" s="29" t="s">
        <v>5</v>
      </c>
      <c r="S15" s="30" t="s">
        <v>6</v>
      </c>
      <c r="T15" s="30" t="s">
        <v>6</v>
      </c>
      <c r="U15" s="30" t="s">
        <v>6</v>
      </c>
      <c r="V15" s="30" t="s">
        <v>5</v>
      </c>
      <c r="W15" s="29" t="s">
        <v>5</v>
      </c>
      <c r="X15" s="29" t="s">
        <v>6</v>
      </c>
      <c r="Y15" s="30" t="s">
        <v>6</v>
      </c>
      <c r="Z15" s="30" t="s">
        <v>6</v>
      </c>
      <c r="AA15" s="30" t="s">
        <v>6</v>
      </c>
      <c r="AB15" s="30" t="s">
        <v>6</v>
      </c>
      <c r="AC15" s="30" t="s">
        <v>6</v>
      </c>
      <c r="AD15" s="30" t="s">
        <v>5</v>
      </c>
      <c r="AE15" s="30" t="s">
        <v>6</v>
      </c>
      <c r="AF15" s="30" t="s">
        <v>6</v>
      </c>
      <c r="AG15" s="30"/>
      <c r="AH15" s="32" t="s">
        <v>10</v>
      </c>
    </row>
    <row r="16" customHeight="1" spans="1:34">
      <c r="A16" s="27" t="s">
        <v>27</v>
      </c>
      <c r="B16" s="23" t="s">
        <v>12</v>
      </c>
      <c r="C16" s="30" t="s">
        <v>5</v>
      </c>
      <c r="D16" s="30" t="s">
        <v>6</v>
      </c>
      <c r="E16" s="33" t="s">
        <v>6</v>
      </c>
      <c r="F16" s="31" t="s">
        <v>6</v>
      </c>
      <c r="G16" s="30" t="s">
        <v>18</v>
      </c>
      <c r="H16" s="30" t="s">
        <v>5</v>
      </c>
      <c r="I16" s="29" t="s">
        <v>5</v>
      </c>
      <c r="J16" s="29" t="s">
        <v>6</v>
      </c>
      <c r="K16" s="30" t="s">
        <v>6</v>
      </c>
      <c r="L16" s="30" t="s">
        <v>6</v>
      </c>
      <c r="M16" s="30" t="s">
        <v>6</v>
      </c>
      <c r="N16" s="30" t="s">
        <v>6</v>
      </c>
      <c r="O16" s="30" t="s">
        <v>6</v>
      </c>
      <c r="P16" s="30" t="s">
        <v>5</v>
      </c>
      <c r="Q16" s="29" t="s">
        <v>6</v>
      </c>
      <c r="R16" s="29" t="s">
        <v>5</v>
      </c>
      <c r="S16" s="29" t="s">
        <v>6</v>
      </c>
      <c r="T16" s="30" t="s">
        <v>6</v>
      </c>
      <c r="U16" s="30" t="s">
        <v>6</v>
      </c>
      <c r="V16" s="31" t="s">
        <v>6</v>
      </c>
      <c r="W16" s="29" t="s">
        <v>5</v>
      </c>
      <c r="X16" s="29" t="s">
        <v>6</v>
      </c>
      <c r="Y16" s="30" t="s">
        <v>6</v>
      </c>
      <c r="Z16" s="30" t="s">
        <v>18</v>
      </c>
      <c r="AA16" s="30" t="s">
        <v>9</v>
      </c>
      <c r="AB16" s="30" t="s">
        <v>6</v>
      </c>
      <c r="AC16" s="30" t="s">
        <v>5</v>
      </c>
      <c r="AD16" s="30" t="s">
        <v>6</v>
      </c>
      <c r="AE16" s="30" t="s">
        <v>9</v>
      </c>
      <c r="AF16" s="30" t="s">
        <v>6</v>
      </c>
      <c r="AG16" s="30"/>
      <c r="AH16" s="32" t="s">
        <v>10</v>
      </c>
    </row>
    <row r="17" customHeight="1" spans="1:34">
      <c r="A17" s="27" t="s">
        <v>28</v>
      </c>
      <c r="B17" s="28" t="s">
        <v>12</v>
      </c>
      <c r="C17" s="29" t="s">
        <v>6</v>
      </c>
      <c r="D17" s="31" t="s">
        <v>6</v>
      </c>
      <c r="E17" s="33" t="s">
        <v>6</v>
      </c>
      <c r="F17" s="29" t="s">
        <v>18</v>
      </c>
      <c r="G17" s="33" t="s">
        <v>9</v>
      </c>
      <c r="H17" s="33" t="s">
        <v>5</v>
      </c>
      <c r="I17" s="31" t="s">
        <v>6</v>
      </c>
      <c r="J17" s="30" t="s">
        <v>6</v>
      </c>
      <c r="K17" s="33" t="s">
        <v>6</v>
      </c>
      <c r="L17" s="29" t="s">
        <v>6</v>
      </c>
      <c r="M17" s="30" t="s">
        <v>18</v>
      </c>
      <c r="N17" s="31" t="s">
        <v>18</v>
      </c>
      <c r="O17" s="33" t="s">
        <v>5</v>
      </c>
      <c r="P17" s="33" t="s">
        <v>5</v>
      </c>
      <c r="Q17" s="30" t="s">
        <v>6</v>
      </c>
      <c r="R17" s="29" t="s">
        <v>18</v>
      </c>
      <c r="S17" s="33" t="s">
        <v>9</v>
      </c>
      <c r="T17" s="31" t="s">
        <v>6</v>
      </c>
      <c r="U17" s="31" t="s">
        <v>18</v>
      </c>
      <c r="V17" s="33" t="s">
        <v>5</v>
      </c>
      <c r="W17" s="30" t="s">
        <v>6</v>
      </c>
      <c r="X17" s="31" t="s">
        <v>6</v>
      </c>
      <c r="Y17" s="29" t="s">
        <v>18</v>
      </c>
      <c r="Z17" s="30" t="s">
        <v>5</v>
      </c>
      <c r="AA17" s="30" t="s">
        <v>6</v>
      </c>
      <c r="AB17" s="31" t="s">
        <v>6</v>
      </c>
      <c r="AC17" s="33" t="s">
        <v>5</v>
      </c>
      <c r="AD17" s="33" t="s">
        <v>6</v>
      </c>
      <c r="AE17" s="33" t="s">
        <v>6</v>
      </c>
      <c r="AF17" s="33" t="s">
        <v>9</v>
      </c>
      <c r="AG17" s="33"/>
      <c r="AH17" s="32" t="s">
        <v>10</v>
      </c>
    </row>
    <row r="18" customHeight="1" spans="1:34">
      <c r="A18" s="27" t="s">
        <v>29</v>
      </c>
      <c r="B18" s="28" t="s">
        <v>4</v>
      </c>
      <c r="C18" s="33" t="s">
        <v>6</v>
      </c>
      <c r="D18" s="33" t="s">
        <v>18</v>
      </c>
      <c r="E18" s="29" t="s">
        <v>5</v>
      </c>
      <c r="F18" s="29" t="s">
        <v>6</v>
      </c>
      <c r="G18" s="30" t="s">
        <v>9</v>
      </c>
      <c r="H18" s="30" t="s">
        <v>6</v>
      </c>
      <c r="I18" s="33" t="s">
        <v>5</v>
      </c>
      <c r="J18" s="33" t="s">
        <v>6</v>
      </c>
      <c r="K18" s="29" t="s">
        <v>6</v>
      </c>
      <c r="L18" s="30" t="s">
        <v>6</v>
      </c>
      <c r="M18" s="30" t="s">
        <v>6</v>
      </c>
      <c r="N18" s="30" t="s">
        <v>18</v>
      </c>
      <c r="O18" s="33" t="s">
        <v>5</v>
      </c>
      <c r="P18" s="33" t="s">
        <v>5</v>
      </c>
      <c r="Q18" s="29" t="s">
        <v>6</v>
      </c>
      <c r="R18" s="29" t="s">
        <v>6</v>
      </c>
      <c r="S18" s="30" t="s">
        <v>6</v>
      </c>
      <c r="T18" s="30" t="s">
        <v>18</v>
      </c>
      <c r="U18" s="30" t="s">
        <v>9</v>
      </c>
      <c r="V18" s="30" t="s">
        <v>6</v>
      </c>
      <c r="W18" s="29" t="s">
        <v>5</v>
      </c>
      <c r="X18" s="29" t="s">
        <v>6</v>
      </c>
      <c r="Y18" s="31" t="s">
        <v>6</v>
      </c>
      <c r="Z18" s="30" t="s">
        <v>6</v>
      </c>
      <c r="AA18" s="30" t="s">
        <v>6</v>
      </c>
      <c r="AB18" s="30" t="s">
        <v>6</v>
      </c>
      <c r="AC18" s="30" t="s">
        <v>5</v>
      </c>
      <c r="AD18" s="30" t="s">
        <v>18</v>
      </c>
      <c r="AE18" s="30" t="s">
        <v>18</v>
      </c>
      <c r="AF18" s="30" t="s">
        <v>5</v>
      </c>
      <c r="AG18" s="30"/>
      <c r="AH18" s="32" t="s">
        <v>10</v>
      </c>
    </row>
    <row r="19" customHeight="1" spans="1:34">
      <c r="A19" s="27" t="s">
        <v>30</v>
      </c>
      <c r="B19" s="28" t="s">
        <v>12</v>
      </c>
      <c r="C19" s="29" t="s">
        <v>5</v>
      </c>
      <c r="D19" s="30" t="s">
        <v>6</v>
      </c>
      <c r="E19" s="30" t="s">
        <v>6</v>
      </c>
      <c r="F19" s="30" t="s">
        <v>6</v>
      </c>
      <c r="G19" s="33" t="s">
        <v>6</v>
      </c>
      <c r="H19" s="29" t="s">
        <v>18</v>
      </c>
      <c r="I19" s="30" t="s">
        <v>5</v>
      </c>
      <c r="J19" s="30" t="s">
        <v>18</v>
      </c>
      <c r="K19" s="30" t="s">
        <v>9</v>
      </c>
      <c r="L19" s="30" t="s">
        <v>18</v>
      </c>
      <c r="M19" s="29" t="s">
        <v>5</v>
      </c>
      <c r="N19" s="29" t="s">
        <v>6</v>
      </c>
      <c r="O19" s="30" t="s">
        <v>18</v>
      </c>
      <c r="P19" s="30" t="s">
        <v>5</v>
      </c>
      <c r="Q19" s="33" t="s">
        <v>6</v>
      </c>
      <c r="R19" s="33" t="s">
        <v>6</v>
      </c>
      <c r="S19" s="29" t="s">
        <v>18</v>
      </c>
      <c r="T19" s="30" t="s">
        <v>9</v>
      </c>
      <c r="U19" s="30" t="s">
        <v>18</v>
      </c>
      <c r="V19" s="31" t="s">
        <v>5</v>
      </c>
      <c r="W19" s="30" t="s">
        <v>6</v>
      </c>
      <c r="X19" s="29" t="s">
        <v>6</v>
      </c>
      <c r="Y19" s="30" t="s">
        <v>6</v>
      </c>
      <c r="Z19" s="30" t="s">
        <v>5</v>
      </c>
      <c r="AA19" s="30" t="s">
        <v>6</v>
      </c>
      <c r="AB19" s="33" t="s">
        <v>6</v>
      </c>
      <c r="AC19" s="33" t="s">
        <v>18</v>
      </c>
      <c r="AD19" s="29" t="s">
        <v>5</v>
      </c>
      <c r="AE19" s="29" t="s">
        <v>6</v>
      </c>
      <c r="AF19" s="29" t="s">
        <v>6</v>
      </c>
      <c r="AG19" s="29"/>
      <c r="AH19" s="32" t="s">
        <v>10</v>
      </c>
    </row>
    <row r="20" customHeight="1" spans="1:34">
      <c r="A20" s="27" t="s">
        <v>31</v>
      </c>
      <c r="B20" s="28" t="s">
        <v>12</v>
      </c>
      <c r="C20" s="29" t="s">
        <v>18</v>
      </c>
      <c r="D20" s="30" t="s">
        <v>9</v>
      </c>
      <c r="E20" s="33" t="s">
        <v>6</v>
      </c>
      <c r="F20" s="33" t="s">
        <v>18</v>
      </c>
      <c r="G20" s="29" t="s">
        <v>5</v>
      </c>
      <c r="H20" s="30" t="s">
        <v>5</v>
      </c>
      <c r="I20" s="30" t="s">
        <v>18</v>
      </c>
      <c r="J20" s="33" t="s">
        <v>9</v>
      </c>
      <c r="K20" s="33" t="s">
        <v>6</v>
      </c>
      <c r="L20" s="29" t="s">
        <v>6</v>
      </c>
      <c r="M20" s="30" t="s">
        <v>6</v>
      </c>
      <c r="N20" s="30" t="s">
        <v>5</v>
      </c>
      <c r="O20" s="30" t="s">
        <v>6</v>
      </c>
      <c r="P20" s="30" t="s">
        <v>6</v>
      </c>
      <c r="Q20" s="29" t="s">
        <v>18</v>
      </c>
      <c r="R20" s="29" t="s">
        <v>5</v>
      </c>
      <c r="S20" s="33" t="s">
        <v>6</v>
      </c>
      <c r="T20" s="31" t="s">
        <v>6</v>
      </c>
      <c r="U20" s="31" t="s">
        <v>6</v>
      </c>
      <c r="V20" s="30" t="s">
        <v>18</v>
      </c>
      <c r="W20" s="29" t="s">
        <v>5</v>
      </c>
      <c r="X20" s="30" t="s">
        <v>6</v>
      </c>
      <c r="Y20" s="30" t="s">
        <v>6</v>
      </c>
      <c r="Z20" s="30" t="s">
        <v>18</v>
      </c>
      <c r="AA20" s="30" t="s">
        <v>9</v>
      </c>
      <c r="AB20" s="30" t="s">
        <v>6</v>
      </c>
      <c r="AC20" s="29" t="s">
        <v>18</v>
      </c>
      <c r="AD20" s="30" t="s">
        <v>5</v>
      </c>
      <c r="AE20" s="30" t="s">
        <v>18</v>
      </c>
      <c r="AF20" s="30" t="s">
        <v>5</v>
      </c>
      <c r="AG20" s="30"/>
      <c r="AH20" s="32" t="s">
        <v>10</v>
      </c>
    </row>
    <row r="21" customHeight="1" spans="1:34">
      <c r="A21" s="27" t="s">
        <v>32</v>
      </c>
      <c r="B21" s="28" t="s">
        <v>33</v>
      </c>
      <c r="C21" s="29" t="s">
        <v>5</v>
      </c>
      <c r="D21" s="30" t="s">
        <v>6</v>
      </c>
      <c r="E21" s="30" t="s">
        <v>6</v>
      </c>
      <c r="F21" s="30" t="s">
        <v>6</v>
      </c>
      <c r="G21" s="30" t="s">
        <v>6</v>
      </c>
      <c r="H21" s="30" t="s">
        <v>5</v>
      </c>
      <c r="I21" s="29" t="s">
        <v>5</v>
      </c>
      <c r="J21" s="29" t="s">
        <v>6</v>
      </c>
      <c r="K21" s="30" t="s">
        <v>6</v>
      </c>
      <c r="L21" s="30" t="s">
        <v>6</v>
      </c>
      <c r="M21" s="30" t="s">
        <v>6</v>
      </c>
      <c r="N21" s="30" t="s">
        <v>6</v>
      </c>
      <c r="O21" s="30" t="s">
        <v>6</v>
      </c>
      <c r="P21" s="29" t="s">
        <v>5</v>
      </c>
      <c r="Q21" s="29" t="s">
        <v>6</v>
      </c>
      <c r="R21" s="29" t="s">
        <v>5</v>
      </c>
      <c r="S21" s="29" t="s">
        <v>6</v>
      </c>
      <c r="T21" s="30" t="s">
        <v>6</v>
      </c>
      <c r="U21" s="30" t="s">
        <v>6</v>
      </c>
      <c r="V21" s="30" t="s">
        <v>5</v>
      </c>
      <c r="W21" s="30" t="s">
        <v>5</v>
      </c>
      <c r="X21" s="29" t="s">
        <v>6</v>
      </c>
      <c r="Y21" s="30" t="s">
        <v>6</v>
      </c>
      <c r="Z21" s="30" t="s">
        <v>6</v>
      </c>
      <c r="AA21" s="30" t="s">
        <v>6</v>
      </c>
      <c r="AB21" s="30" t="s">
        <v>6</v>
      </c>
      <c r="AC21" s="30" t="s">
        <v>5</v>
      </c>
      <c r="AD21" s="29" t="s">
        <v>5</v>
      </c>
      <c r="AE21" s="29" t="s">
        <v>6</v>
      </c>
      <c r="AF21" s="29" t="s">
        <v>6</v>
      </c>
      <c r="AG21" s="29"/>
      <c r="AH21" s="32" t="s">
        <v>10</v>
      </c>
    </row>
    <row r="22" customHeight="1" spans="1:34">
      <c r="A22" s="27" t="s">
        <v>34</v>
      </c>
      <c r="B22" s="28" t="s">
        <v>12</v>
      </c>
      <c r="C22" s="29" t="s">
        <v>5</v>
      </c>
      <c r="D22" s="30" t="s">
        <v>6</v>
      </c>
      <c r="E22" s="31" t="s">
        <v>6</v>
      </c>
      <c r="F22" s="30" t="s">
        <v>6</v>
      </c>
      <c r="G22" s="30" t="s">
        <v>18</v>
      </c>
      <c r="H22" s="33" t="s">
        <v>5</v>
      </c>
      <c r="I22" s="29" t="s">
        <v>6</v>
      </c>
      <c r="J22" s="29" t="s">
        <v>6</v>
      </c>
      <c r="K22" s="30" t="s">
        <v>6</v>
      </c>
      <c r="L22" s="30" t="s">
        <v>6</v>
      </c>
      <c r="M22" s="30" t="s">
        <v>18</v>
      </c>
      <c r="N22" s="29" t="s">
        <v>5</v>
      </c>
      <c r="O22" s="33" t="s">
        <v>6</v>
      </c>
      <c r="P22" s="29" t="s">
        <v>18</v>
      </c>
      <c r="Q22" s="33" t="s">
        <v>9</v>
      </c>
      <c r="R22" s="33" t="s">
        <v>18</v>
      </c>
      <c r="S22" s="29" t="s">
        <v>5</v>
      </c>
      <c r="T22" s="30" t="s">
        <v>6</v>
      </c>
      <c r="U22" s="30" t="s">
        <v>6</v>
      </c>
      <c r="V22" s="30" t="s">
        <v>6</v>
      </c>
      <c r="W22" s="33" t="s">
        <v>18</v>
      </c>
      <c r="X22" s="33" t="s">
        <v>9</v>
      </c>
      <c r="Y22" s="29" t="s">
        <v>18</v>
      </c>
      <c r="Z22" s="30" t="s">
        <v>5</v>
      </c>
      <c r="AA22" s="30" t="s">
        <v>6</v>
      </c>
      <c r="AB22" s="30" t="s">
        <v>6</v>
      </c>
      <c r="AC22" s="30" t="s">
        <v>6</v>
      </c>
      <c r="AD22" s="30" t="s">
        <v>5</v>
      </c>
      <c r="AE22" s="30" t="s">
        <v>5</v>
      </c>
      <c r="AF22" s="30" t="s">
        <v>6</v>
      </c>
      <c r="AG22" s="30"/>
      <c r="AH22" s="32" t="s">
        <v>10</v>
      </c>
    </row>
    <row r="23" customHeight="1" spans="1:34">
      <c r="A23" s="27" t="s">
        <v>35</v>
      </c>
      <c r="B23" s="28" t="s">
        <v>4</v>
      </c>
      <c r="C23" s="33" t="s">
        <v>5</v>
      </c>
      <c r="D23" s="33" t="s">
        <v>6</v>
      </c>
      <c r="E23" s="29" t="s">
        <v>6</v>
      </c>
      <c r="F23" s="30" t="s">
        <v>6</v>
      </c>
      <c r="G23" s="30" t="s">
        <v>6</v>
      </c>
      <c r="H23" s="30" t="s">
        <v>6</v>
      </c>
      <c r="I23" s="33" t="s">
        <v>5</v>
      </c>
      <c r="J23" s="29" t="s">
        <v>6</v>
      </c>
      <c r="K23" s="31" t="s">
        <v>6</v>
      </c>
      <c r="L23" s="29" t="s">
        <v>6</v>
      </c>
      <c r="M23" s="30" t="s">
        <v>6</v>
      </c>
      <c r="N23" s="30" t="s">
        <v>6</v>
      </c>
      <c r="O23" s="30" t="s">
        <v>5</v>
      </c>
      <c r="P23" s="30" t="s">
        <v>18</v>
      </c>
      <c r="Q23" s="29" t="s">
        <v>9</v>
      </c>
      <c r="R23" s="29" t="s">
        <v>6</v>
      </c>
      <c r="S23" s="30" t="s">
        <v>6</v>
      </c>
      <c r="T23" s="30" t="s">
        <v>6</v>
      </c>
      <c r="U23" s="30" t="s">
        <v>18</v>
      </c>
      <c r="V23" s="33" t="s">
        <v>5</v>
      </c>
      <c r="W23" s="29" t="s">
        <v>5</v>
      </c>
      <c r="X23" s="29" t="s">
        <v>6</v>
      </c>
      <c r="Y23" s="30" t="s">
        <v>18</v>
      </c>
      <c r="Z23" s="30" t="s">
        <v>9</v>
      </c>
      <c r="AA23" s="33" t="s">
        <v>6</v>
      </c>
      <c r="AB23" s="30" t="s">
        <v>5</v>
      </c>
      <c r="AC23" s="30" t="s">
        <v>5</v>
      </c>
      <c r="AD23" s="30" t="s">
        <v>6</v>
      </c>
      <c r="AE23" s="30" t="s">
        <v>6</v>
      </c>
      <c r="AF23" s="30" t="s">
        <v>18</v>
      </c>
      <c r="AG23" s="30"/>
      <c r="AH23" s="32" t="s">
        <v>10</v>
      </c>
    </row>
    <row r="24" customHeight="1" spans="1:34">
      <c r="A24" s="27" t="s">
        <v>36</v>
      </c>
      <c r="B24" s="28" t="s">
        <v>4</v>
      </c>
      <c r="C24" s="33" t="s">
        <v>5</v>
      </c>
      <c r="D24" s="31" t="s">
        <v>6</v>
      </c>
      <c r="E24" s="30" t="s">
        <v>6</v>
      </c>
      <c r="F24" s="30" t="s">
        <v>6</v>
      </c>
      <c r="G24" s="30" t="s">
        <v>6</v>
      </c>
      <c r="H24" s="29" t="s">
        <v>18</v>
      </c>
      <c r="I24" s="30" t="s">
        <v>5</v>
      </c>
      <c r="J24" s="30" t="s">
        <v>6</v>
      </c>
      <c r="K24" s="30" t="s">
        <v>18</v>
      </c>
      <c r="L24" s="30" t="s">
        <v>9</v>
      </c>
      <c r="M24" s="29" t="s">
        <v>6</v>
      </c>
      <c r="N24" s="30" t="s">
        <v>6</v>
      </c>
      <c r="O24" s="30" t="s">
        <v>18</v>
      </c>
      <c r="P24" s="33" t="s">
        <v>5</v>
      </c>
      <c r="Q24" s="29" t="s">
        <v>6</v>
      </c>
      <c r="R24" s="29" t="s">
        <v>18</v>
      </c>
      <c r="S24" s="30" t="s">
        <v>9</v>
      </c>
      <c r="T24" s="30" t="s">
        <v>6</v>
      </c>
      <c r="U24" s="30" t="s">
        <v>5</v>
      </c>
      <c r="V24" s="33" t="s">
        <v>6</v>
      </c>
      <c r="W24" s="33" t="s">
        <v>6</v>
      </c>
      <c r="X24" s="29" t="s">
        <v>18</v>
      </c>
      <c r="Y24" s="30" t="s">
        <v>5</v>
      </c>
      <c r="Z24" s="30" t="s">
        <v>6</v>
      </c>
      <c r="AA24" s="30" t="s">
        <v>6</v>
      </c>
      <c r="AB24" s="33" t="s">
        <v>18</v>
      </c>
      <c r="AC24" s="29" t="s">
        <v>5</v>
      </c>
      <c r="AD24" s="29" t="s">
        <v>5</v>
      </c>
      <c r="AE24" s="29" t="s">
        <v>6</v>
      </c>
      <c r="AF24" s="29" t="s">
        <v>6</v>
      </c>
      <c r="AG24" s="29"/>
      <c r="AH24" s="32" t="s">
        <v>10</v>
      </c>
    </row>
    <row r="25" customHeight="1" spans="1:34">
      <c r="A25" s="27" t="s">
        <v>37</v>
      </c>
      <c r="B25" s="28" t="s">
        <v>4</v>
      </c>
      <c r="C25" s="29" t="s">
        <v>6</v>
      </c>
      <c r="D25" s="30" t="s">
        <v>6</v>
      </c>
      <c r="E25" s="30" t="s">
        <v>6</v>
      </c>
      <c r="F25" s="31" t="s">
        <v>9</v>
      </c>
      <c r="G25" s="30" t="s">
        <v>18</v>
      </c>
      <c r="H25" s="33" t="s">
        <v>5</v>
      </c>
      <c r="I25" s="29" t="s">
        <v>5</v>
      </c>
      <c r="J25" s="30" t="s">
        <v>6</v>
      </c>
      <c r="K25" s="30" t="s">
        <v>6</v>
      </c>
      <c r="L25" s="30" t="s">
        <v>18</v>
      </c>
      <c r="M25" s="33" t="s">
        <v>9</v>
      </c>
      <c r="N25" s="33" t="s">
        <v>6</v>
      </c>
      <c r="O25" s="29" t="s">
        <v>5</v>
      </c>
      <c r="P25" s="29" t="s">
        <v>6</v>
      </c>
      <c r="Q25" s="30" t="s">
        <v>6</v>
      </c>
      <c r="R25" s="30" t="s">
        <v>5</v>
      </c>
      <c r="S25" s="30" t="s">
        <v>6</v>
      </c>
      <c r="T25" s="33" t="s">
        <v>6</v>
      </c>
      <c r="U25" s="29" t="s">
        <v>6</v>
      </c>
      <c r="V25" s="30" t="s">
        <v>6</v>
      </c>
      <c r="W25" s="29" t="s">
        <v>5</v>
      </c>
      <c r="X25" s="29" t="s">
        <v>6</v>
      </c>
      <c r="Y25" s="30" t="s">
        <v>6</v>
      </c>
      <c r="Z25" s="30" t="s">
        <v>6</v>
      </c>
      <c r="AA25" s="31" t="s">
        <v>5</v>
      </c>
      <c r="AB25" s="30" t="s">
        <v>6</v>
      </c>
      <c r="AC25" s="31" t="s">
        <v>6</v>
      </c>
      <c r="AD25" s="30" t="s">
        <v>5</v>
      </c>
      <c r="AE25" s="30" t="s">
        <v>6</v>
      </c>
      <c r="AF25" s="30" t="s">
        <v>6</v>
      </c>
      <c r="AG25" s="30"/>
      <c r="AH25" s="32" t="s">
        <v>10</v>
      </c>
    </row>
    <row r="26" customHeight="1" spans="1:34">
      <c r="A26" s="27" t="s">
        <v>38</v>
      </c>
      <c r="B26" s="28" t="s">
        <v>12</v>
      </c>
      <c r="C26" s="30" t="s">
        <v>5</v>
      </c>
      <c r="D26" s="30" t="s">
        <v>18</v>
      </c>
      <c r="E26" s="30" t="s">
        <v>18</v>
      </c>
      <c r="F26" s="30" t="s">
        <v>5</v>
      </c>
      <c r="G26" s="29" t="s">
        <v>6</v>
      </c>
      <c r="H26" s="30" t="s">
        <v>5</v>
      </c>
      <c r="I26" s="29" t="s">
        <v>18</v>
      </c>
      <c r="J26" s="29" t="s">
        <v>9</v>
      </c>
      <c r="K26" s="30" t="s">
        <v>6</v>
      </c>
      <c r="L26" s="33" t="s">
        <v>6</v>
      </c>
      <c r="M26" s="31" t="s">
        <v>6</v>
      </c>
      <c r="N26" s="30" t="s">
        <v>18</v>
      </c>
      <c r="O26" s="30" t="s">
        <v>5</v>
      </c>
      <c r="P26" s="29" t="s">
        <v>5</v>
      </c>
      <c r="Q26" s="30" t="s">
        <v>6</v>
      </c>
      <c r="R26" s="30" t="s">
        <v>18</v>
      </c>
      <c r="S26" s="33" t="s">
        <v>9</v>
      </c>
      <c r="T26" s="33" t="s">
        <v>6</v>
      </c>
      <c r="U26" s="29" t="s">
        <v>6</v>
      </c>
      <c r="V26" s="30" t="s">
        <v>18</v>
      </c>
      <c r="W26" s="30" t="s">
        <v>5</v>
      </c>
      <c r="X26" s="30" t="s">
        <v>6</v>
      </c>
      <c r="Y26" s="33" t="s">
        <v>6</v>
      </c>
      <c r="Z26" s="33" t="s">
        <v>6</v>
      </c>
      <c r="AA26" s="29" t="s">
        <v>6</v>
      </c>
      <c r="AB26" s="30" t="s">
        <v>18</v>
      </c>
      <c r="AC26" s="30" t="s">
        <v>5</v>
      </c>
      <c r="AD26" s="29" t="s">
        <v>6</v>
      </c>
      <c r="AE26" s="29" t="s">
        <v>6</v>
      </c>
      <c r="AF26" s="29" t="s">
        <v>6</v>
      </c>
      <c r="AG26" s="29"/>
      <c r="AH26" s="32" t="s">
        <v>10</v>
      </c>
    </row>
    <row r="27" customHeight="1" spans="1:34">
      <c r="A27" s="27" t="s">
        <v>39</v>
      </c>
      <c r="B27" s="28" t="s">
        <v>40</v>
      </c>
      <c r="C27" s="30" t="s">
        <v>5</v>
      </c>
      <c r="D27" s="33" t="s">
        <v>6</v>
      </c>
      <c r="E27" s="29" t="s">
        <v>5</v>
      </c>
      <c r="F27" s="29" t="s">
        <v>6</v>
      </c>
      <c r="G27" s="33" t="s">
        <v>5</v>
      </c>
      <c r="H27" s="29" t="s">
        <v>5</v>
      </c>
      <c r="I27" s="29" t="s">
        <v>5</v>
      </c>
      <c r="J27" s="29" t="s">
        <v>6</v>
      </c>
      <c r="K27" s="30" t="s">
        <v>5</v>
      </c>
      <c r="L27" s="33" t="s">
        <v>5</v>
      </c>
      <c r="M27" s="29" t="s">
        <v>6</v>
      </c>
      <c r="N27" s="29" t="s">
        <v>5</v>
      </c>
      <c r="O27" s="29" t="s">
        <v>6</v>
      </c>
      <c r="P27" s="30" t="s">
        <v>5</v>
      </c>
      <c r="Q27" s="33" t="s">
        <v>6</v>
      </c>
      <c r="R27" s="29" t="s">
        <v>5</v>
      </c>
      <c r="S27" s="33" t="s">
        <v>6</v>
      </c>
      <c r="T27" s="29" t="s">
        <v>5</v>
      </c>
      <c r="U27" s="33" t="s">
        <v>6</v>
      </c>
      <c r="V27" s="33" t="s">
        <v>5</v>
      </c>
      <c r="W27" s="29" t="s">
        <v>5</v>
      </c>
      <c r="X27" s="29" t="s">
        <v>6</v>
      </c>
      <c r="Y27" s="30" t="s">
        <v>5</v>
      </c>
      <c r="Z27" s="33" t="s">
        <v>5</v>
      </c>
      <c r="AA27" s="29" t="s">
        <v>6</v>
      </c>
      <c r="AB27" s="29" t="s">
        <v>6</v>
      </c>
      <c r="AC27" s="29" t="s">
        <v>5</v>
      </c>
      <c r="AD27" s="29" t="s">
        <v>5</v>
      </c>
      <c r="AE27" s="29" t="s">
        <v>6</v>
      </c>
      <c r="AF27" s="29" t="s">
        <v>5</v>
      </c>
      <c r="AG27" s="29"/>
      <c r="AH27" s="32" t="s">
        <v>10</v>
      </c>
    </row>
    <row r="28" customHeight="1" spans="1:34">
      <c r="A28" s="27" t="s">
        <v>41</v>
      </c>
      <c r="B28" s="28" t="s">
        <v>40</v>
      </c>
      <c r="C28" s="29" t="s">
        <v>5</v>
      </c>
      <c r="D28" s="29" t="s">
        <v>6</v>
      </c>
      <c r="E28" s="30" t="s">
        <v>18</v>
      </c>
      <c r="F28" s="33" t="s">
        <v>5</v>
      </c>
      <c r="G28" s="29" t="s">
        <v>5</v>
      </c>
      <c r="H28" s="29" t="s">
        <v>5</v>
      </c>
      <c r="I28" s="30" t="s">
        <v>6</v>
      </c>
      <c r="J28" s="30" t="s">
        <v>18</v>
      </c>
      <c r="K28" s="29" t="s">
        <v>5</v>
      </c>
      <c r="L28" s="29" t="s">
        <v>5</v>
      </c>
      <c r="M28" s="33" t="s">
        <v>6</v>
      </c>
      <c r="N28" s="33" t="s">
        <v>9</v>
      </c>
      <c r="O28" s="29" t="s">
        <v>5</v>
      </c>
      <c r="P28" s="30" t="s">
        <v>5</v>
      </c>
      <c r="Q28" s="29" t="s">
        <v>18</v>
      </c>
      <c r="R28" s="29" t="s">
        <v>5</v>
      </c>
      <c r="S28" s="29" t="s">
        <v>18</v>
      </c>
      <c r="T28" s="30" t="s">
        <v>18</v>
      </c>
      <c r="U28" s="33" t="s">
        <v>5</v>
      </c>
      <c r="V28" s="29" t="s">
        <v>6</v>
      </c>
      <c r="W28" s="29" t="s">
        <v>5</v>
      </c>
      <c r="X28" s="29" t="s">
        <v>5</v>
      </c>
      <c r="Y28" s="33" t="s">
        <v>5</v>
      </c>
      <c r="Z28" s="33" t="s">
        <v>6</v>
      </c>
      <c r="AA28" s="33" t="s">
        <v>5</v>
      </c>
      <c r="AB28" s="29" t="s">
        <v>5</v>
      </c>
      <c r="AC28" s="29" t="s">
        <v>5</v>
      </c>
      <c r="AD28" s="29" t="s">
        <v>6</v>
      </c>
      <c r="AE28" s="29" t="s">
        <v>5</v>
      </c>
      <c r="AF28" s="29" t="s">
        <v>6</v>
      </c>
      <c r="AG28" s="29"/>
      <c r="AH28" s="32" t="s">
        <v>10</v>
      </c>
    </row>
    <row r="29" customHeight="1" spans="1:34">
      <c r="A29" s="27" t="s">
        <v>42</v>
      </c>
      <c r="B29" s="28" t="s">
        <v>40</v>
      </c>
      <c r="C29" s="30" t="s">
        <v>18</v>
      </c>
      <c r="D29" s="30" t="s">
        <v>9</v>
      </c>
      <c r="E29" s="29" t="s">
        <v>6</v>
      </c>
      <c r="F29" s="29" t="s">
        <v>6</v>
      </c>
      <c r="G29" s="33" t="s">
        <v>6</v>
      </c>
      <c r="H29" s="33" t="s">
        <v>6</v>
      </c>
      <c r="I29" s="29" t="s">
        <v>5</v>
      </c>
      <c r="J29" s="29" t="s">
        <v>6</v>
      </c>
      <c r="K29" s="29" t="s">
        <v>18</v>
      </c>
      <c r="L29" s="33" t="s">
        <v>9</v>
      </c>
      <c r="M29" s="30" t="s">
        <v>5</v>
      </c>
      <c r="N29" s="29" t="s">
        <v>6</v>
      </c>
      <c r="O29" s="29" t="s">
        <v>6</v>
      </c>
      <c r="P29" s="29" t="s">
        <v>6</v>
      </c>
      <c r="Q29" s="33" t="s">
        <v>18</v>
      </c>
      <c r="R29" s="29" t="s">
        <v>5</v>
      </c>
      <c r="S29" s="29" t="s">
        <v>6</v>
      </c>
      <c r="T29" s="29" t="s">
        <v>5</v>
      </c>
      <c r="U29" s="29" t="s">
        <v>18</v>
      </c>
      <c r="V29" s="30" t="s">
        <v>5</v>
      </c>
      <c r="W29" s="30" t="s">
        <v>5</v>
      </c>
      <c r="X29" s="29" t="s">
        <v>18</v>
      </c>
      <c r="Y29" s="33" t="s">
        <v>9</v>
      </c>
      <c r="Z29" s="29" t="s">
        <v>6</v>
      </c>
      <c r="AA29" s="29" t="s">
        <v>18</v>
      </c>
      <c r="AB29" s="29" t="s">
        <v>9</v>
      </c>
      <c r="AC29" s="33" t="s">
        <v>6</v>
      </c>
      <c r="AD29" s="33" t="s">
        <v>5</v>
      </c>
      <c r="AE29" s="33" t="s">
        <v>6</v>
      </c>
      <c r="AF29" s="33" t="s">
        <v>6</v>
      </c>
      <c r="AG29" s="33"/>
      <c r="AH29" s="32" t="s">
        <v>10</v>
      </c>
    </row>
    <row r="30" customHeight="1" spans="1:34">
      <c r="A30" s="27" t="s">
        <v>43</v>
      </c>
      <c r="B30" s="28" t="s">
        <v>12</v>
      </c>
      <c r="C30" s="29" t="s">
        <v>5</v>
      </c>
      <c r="D30" s="29" t="s">
        <v>18</v>
      </c>
      <c r="E30" s="33" t="s">
        <v>9</v>
      </c>
      <c r="F30" s="33" t="s">
        <v>18</v>
      </c>
      <c r="G30" s="31" t="s">
        <v>9</v>
      </c>
      <c r="H30" s="30" t="s">
        <v>18</v>
      </c>
      <c r="I30" s="29" t="s">
        <v>5</v>
      </c>
      <c r="J30" s="33" t="s">
        <v>6</v>
      </c>
      <c r="K30" s="33" t="s">
        <v>6</v>
      </c>
      <c r="L30" s="31" t="s">
        <v>6</v>
      </c>
      <c r="M30" s="30" t="s">
        <v>5</v>
      </c>
      <c r="N30" s="30" t="s">
        <v>6</v>
      </c>
      <c r="O30" s="31" t="s">
        <v>6</v>
      </c>
      <c r="P30" s="29" t="s">
        <v>18</v>
      </c>
      <c r="Q30" s="30" t="s">
        <v>5</v>
      </c>
      <c r="R30" s="30" t="s">
        <v>5</v>
      </c>
      <c r="S30" s="30" t="s">
        <v>18</v>
      </c>
      <c r="T30" s="30" t="s">
        <v>9</v>
      </c>
      <c r="U30" s="30" t="s">
        <v>6</v>
      </c>
      <c r="V30" s="29" t="s">
        <v>5</v>
      </c>
      <c r="W30" s="33" t="s">
        <v>6</v>
      </c>
      <c r="X30" s="33" t="s">
        <v>6</v>
      </c>
      <c r="Y30" s="29" t="s">
        <v>6</v>
      </c>
      <c r="Z30" s="30" t="s">
        <v>18</v>
      </c>
      <c r="AA30" s="33" t="s">
        <v>18</v>
      </c>
      <c r="AB30" s="31" t="s">
        <v>5</v>
      </c>
      <c r="AC30" s="30" t="s">
        <v>6</v>
      </c>
      <c r="AD30" s="30" t="s">
        <v>18</v>
      </c>
      <c r="AE30" s="30" t="s">
        <v>9</v>
      </c>
      <c r="AF30" s="30" t="s">
        <v>18</v>
      </c>
      <c r="AG30" s="30"/>
      <c r="AH30" s="32" t="s">
        <v>10</v>
      </c>
    </row>
    <row r="31" customHeight="1" spans="1:34">
      <c r="A31" s="27" t="s">
        <v>44</v>
      </c>
      <c r="B31" s="28" t="s">
        <v>12</v>
      </c>
      <c r="C31" s="29" t="s">
        <v>18</v>
      </c>
      <c r="D31" s="33" t="s">
        <v>5</v>
      </c>
      <c r="E31" s="30" t="s">
        <v>9</v>
      </c>
      <c r="F31" s="29" t="s">
        <v>6</v>
      </c>
      <c r="G31" s="30" t="s">
        <v>6</v>
      </c>
      <c r="H31" s="31" t="s">
        <v>6</v>
      </c>
      <c r="I31" s="33" t="s">
        <v>6</v>
      </c>
      <c r="J31" s="31" t="s">
        <v>18</v>
      </c>
      <c r="K31" s="30" t="s">
        <v>5</v>
      </c>
      <c r="L31" s="30" t="s">
        <v>5</v>
      </c>
      <c r="M31" s="29" t="s">
        <v>6</v>
      </c>
      <c r="N31" s="30" t="s">
        <v>6</v>
      </c>
      <c r="O31" s="30" t="s">
        <v>6</v>
      </c>
      <c r="P31" s="33" t="s">
        <v>5</v>
      </c>
      <c r="Q31" s="33" t="s">
        <v>6</v>
      </c>
      <c r="R31" s="33" t="s">
        <v>6</v>
      </c>
      <c r="S31" s="30" t="s">
        <v>6</v>
      </c>
      <c r="T31" s="29" t="s">
        <v>6</v>
      </c>
      <c r="U31" s="30" t="s">
        <v>6</v>
      </c>
      <c r="V31" s="30" t="s">
        <v>5</v>
      </c>
      <c r="W31" s="33" t="s">
        <v>18</v>
      </c>
      <c r="X31" s="33" t="s">
        <v>18</v>
      </c>
      <c r="Y31" s="31" t="s">
        <v>9</v>
      </c>
      <c r="Z31" s="30" t="s">
        <v>9</v>
      </c>
      <c r="AA31" s="29" t="s">
        <v>5</v>
      </c>
      <c r="AB31" s="31" t="s">
        <v>6</v>
      </c>
      <c r="AC31" s="33" t="s">
        <v>6</v>
      </c>
      <c r="AD31" s="33" t="s">
        <v>18</v>
      </c>
      <c r="AE31" s="33" t="s">
        <v>18</v>
      </c>
      <c r="AF31" s="33" t="s">
        <v>5</v>
      </c>
      <c r="AG31" s="33"/>
      <c r="AH31" s="32" t="s">
        <v>10</v>
      </c>
    </row>
    <row r="32" customHeight="1" spans="1:34">
      <c r="A32" s="27" t="s">
        <v>45</v>
      </c>
      <c r="B32" s="28" t="s">
        <v>12</v>
      </c>
      <c r="C32" s="29" t="s">
        <v>6</v>
      </c>
      <c r="D32" s="33" t="s">
        <v>6</v>
      </c>
      <c r="E32" s="33" t="s">
        <v>5</v>
      </c>
      <c r="F32" s="30" t="s">
        <v>9</v>
      </c>
      <c r="G32" s="30" t="s">
        <v>6</v>
      </c>
      <c r="H32" s="30" t="s">
        <v>6</v>
      </c>
      <c r="I32" s="33" t="s">
        <v>18</v>
      </c>
      <c r="J32" s="29" t="s">
        <v>5</v>
      </c>
      <c r="K32" s="30" t="s">
        <v>9</v>
      </c>
      <c r="L32" s="30" t="s">
        <v>6</v>
      </c>
      <c r="M32" s="30" t="s">
        <v>18</v>
      </c>
      <c r="N32" s="33" t="s">
        <v>9</v>
      </c>
      <c r="O32" s="33" t="s">
        <v>18</v>
      </c>
      <c r="P32" s="29" t="s">
        <v>5</v>
      </c>
      <c r="Q32" s="29" t="s">
        <v>6</v>
      </c>
      <c r="R32" s="30" t="s">
        <v>6</v>
      </c>
      <c r="S32" s="30" t="s">
        <v>6</v>
      </c>
      <c r="T32" s="33" t="s">
        <v>5</v>
      </c>
      <c r="U32" s="33" t="s">
        <v>6</v>
      </c>
      <c r="V32" s="29" t="s">
        <v>18</v>
      </c>
      <c r="W32" s="30" t="s">
        <v>18</v>
      </c>
      <c r="X32" s="30" t="s">
        <v>5</v>
      </c>
      <c r="Y32" s="33" t="s">
        <v>6</v>
      </c>
      <c r="Z32" s="31" t="s">
        <v>6</v>
      </c>
      <c r="AA32" s="29" t="s">
        <v>6</v>
      </c>
      <c r="AB32" s="30" t="s">
        <v>6</v>
      </c>
      <c r="AC32" s="30" t="s">
        <v>18</v>
      </c>
      <c r="AD32" s="33" t="s">
        <v>5</v>
      </c>
      <c r="AE32" s="33" t="s">
        <v>6</v>
      </c>
      <c r="AF32" s="33" t="s">
        <v>9</v>
      </c>
      <c r="AG32" s="33"/>
      <c r="AH32" s="32" t="s">
        <v>10</v>
      </c>
    </row>
    <row r="33" customHeight="1" spans="1:34">
      <c r="A33" s="27" t="s">
        <v>46</v>
      </c>
      <c r="B33" s="28" t="s">
        <v>12</v>
      </c>
      <c r="C33" s="29" t="s">
        <v>5</v>
      </c>
      <c r="D33" s="30" t="s">
        <v>6</v>
      </c>
      <c r="E33" s="30" t="s">
        <v>6</v>
      </c>
      <c r="F33" s="30" t="s">
        <v>6</v>
      </c>
      <c r="G33" s="30" t="s">
        <v>6</v>
      </c>
      <c r="H33" s="30" t="s">
        <v>6</v>
      </c>
      <c r="I33" s="29" t="s">
        <v>5</v>
      </c>
      <c r="J33" s="29" t="s">
        <v>9</v>
      </c>
      <c r="K33" s="30" t="s">
        <v>6</v>
      </c>
      <c r="L33" s="30" t="s">
        <v>6</v>
      </c>
      <c r="M33" s="30" t="s">
        <v>6</v>
      </c>
      <c r="N33" s="30" t="s">
        <v>6</v>
      </c>
      <c r="O33" s="30" t="s">
        <v>5</v>
      </c>
      <c r="P33" s="29" t="s">
        <v>5</v>
      </c>
      <c r="Q33" s="29" t="s">
        <v>6</v>
      </c>
      <c r="R33" s="29" t="s">
        <v>5</v>
      </c>
      <c r="S33" s="29" t="s">
        <v>6</v>
      </c>
      <c r="T33" s="30" t="s">
        <v>6</v>
      </c>
      <c r="U33" s="30" t="s">
        <v>6</v>
      </c>
      <c r="V33" s="30" t="s">
        <v>5</v>
      </c>
      <c r="W33" s="29" t="s">
        <v>5</v>
      </c>
      <c r="X33" s="29" t="s">
        <v>6</v>
      </c>
      <c r="Y33" s="30" t="s">
        <v>6</v>
      </c>
      <c r="Z33" s="30" t="s">
        <v>9</v>
      </c>
      <c r="AA33" s="30" t="s">
        <v>6</v>
      </c>
      <c r="AB33" s="30" t="s">
        <v>6</v>
      </c>
      <c r="AC33" s="30" t="s">
        <v>5</v>
      </c>
      <c r="AD33" s="29" t="s">
        <v>5</v>
      </c>
      <c r="AE33" s="29" t="s">
        <v>6</v>
      </c>
      <c r="AF33" s="29" t="s">
        <v>6</v>
      </c>
      <c r="AG33" s="29"/>
      <c r="AH33" s="32" t="s">
        <v>10</v>
      </c>
    </row>
    <row r="34" customHeight="1" spans="1:34">
      <c r="A34" s="27" t="s">
        <v>47</v>
      </c>
      <c r="B34" s="28" t="s">
        <v>12</v>
      </c>
      <c r="C34" s="29" t="s">
        <v>6</v>
      </c>
      <c r="D34" s="30" t="s">
        <v>6</v>
      </c>
      <c r="E34" s="30" t="s">
        <v>6</v>
      </c>
      <c r="F34" s="30" t="s">
        <v>6</v>
      </c>
      <c r="G34" s="30" t="s">
        <v>6</v>
      </c>
      <c r="H34" s="30" t="s">
        <v>5</v>
      </c>
      <c r="I34" s="29" t="s">
        <v>5</v>
      </c>
      <c r="J34" s="29" t="s">
        <v>6</v>
      </c>
      <c r="K34" s="30" t="s">
        <v>6</v>
      </c>
      <c r="L34" s="30" t="s">
        <v>6</v>
      </c>
      <c r="M34" s="30" t="s">
        <v>6</v>
      </c>
      <c r="N34" s="30" t="s">
        <v>6</v>
      </c>
      <c r="O34" s="30" t="s">
        <v>5</v>
      </c>
      <c r="P34" s="29" t="s">
        <v>5</v>
      </c>
      <c r="Q34" s="29" t="s">
        <v>6</v>
      </c>
      <c r="R34" s="29" t="s">
        <v>6</v>
      </c>
      <c r="S34" s="29" t="s">
        <v>6</v>
      </c>
      <c r="T34" s="30" t="s">
        <v>6</v>
      </c>
      <c r="U34" s="30" t="s">
        <v>6</v>
      </c>
      <c r="V34" s="30" t="s">
        <v>5</v>
      </c>
      <c r="W34" s="29" t="s">
        <v>5</v>
      </c>
      <c r="X34" s="29" t="s">
        <v>6</v>
      </c>
      <c r="Y34" s="30" t="s">
        <v>6</v>
      </c>
      <c r="Z34" s="30" t="s">
        <v>6</v>
      </c>
      <c r="AA34" s="30" t="s">
        <v>6</v>
      </c>
      <c r="AB34" s="30" t="s">
        <v>6</v>
      </c>
      <c r="AC34" s="30" t="s">
        <v>5</v>
      </c>
      <c r="AD34" s="29" t="s">
        <v>5</v>
      </c>
      <c r="AE34" s="29" t="s">
        <v>6</v>
      </c>
      <c r="AF34" s="29" t="s">
        <v>6</v>
      </c>
      <c r="AG34" s="29"/>
      <c r="AH34" s="32" t="s">
        <v>48</v>
      </c>
    </row>
    <row r="35" customHeight="1" spans="1:34">
      <c r="A35" s="27" t="s">
        <v>49</v>
      </c>
      <c r="B35" s="28" t="s">
        <v>33</v>
      </c>
      <c r="C35" s="29" t="s">
        <v>6</v>
      </c>
      <c r="D35" s="30" t="s">
        <v>6</v>
      </c>
      <c r="E35" s="30" t="s">
        <v>6</v>
      </c>
      <c r="F35" s="30" t="s">
        <v>6</v>
      </c>
      <c r="G35" s="30" t="s">
        <v>6</v>
      </c>
      <c r="H35" s="30" t="s">
        <v>5</v>
      </c>
      <c r="I35" s="29" t="s">
        <v>5</v>
      </c>
      <c r="J35" s="29" t="s">
        <v>6</v>
      </c>
      <c r="K35" s="30" t="s">
        <v>6</v>
      </c>
      <c r="L35" s="30" t="s">
        <v>6</v>
      </c>
      <c r="M35" s="30" t="s">
        <v>6</v>
      </c>
      <c r="N35" s="30" t="s">
        <v>6</v>
      </c>
      <c r="O35" s="30" t="s">
        <v>5</v>
      </c>
      <c r="P35" s="29" t="s">
        <v>5</v>
      </c>
      <c r="Q35" s="29" t="s">
        <v>6</v>
      </c>
      <c r="R35" s="29" t="s">
        <v>6</v>
      </c>
      <c r="S35" s="29" t="s">
        <v>6</v>
      </c>
      <c r="T35" s="30" t="s">
        <v>6</v>
      </c>
      <c r="U35" s="30" t="s">
        <v>6</v>
      </c>
      <c r="V35" s="30" t="s">
        <v>5</v>
      </c>
      <c r="W35" s="29" t="s">
        <v>5</v>
      </c>
      <c r="X35" s="29" t="s">
        <v>6</v>
      </c>
      <c r="Y35" s="30" t="s">
        <v>6</v>
      </c>
      <c r="Z35" s="30" t="s">
        <v>6</v>
      </c>
      <c r="AA35" s="30" t="s">
        <v>6</v>
      </c>
      <c r="AB35" s="30" t="s">
        <v>6</v>
      </c>
      <c r="AC35" s="30" t="s">
        <v>5</v>
      </c>
      <c r="AD35" s="29" t="s">
        <v>5</v>
      </c>
      <c r="AE35" s="29" t="s">
        <v>6</v>
      </c>
      <c r="AF35" s="29" t="s">
        <v>6</v>
      </c>
      <c r="AG35" s="29"/>
      <c r="AH35" s="32" t="s">
        <v>48</v>
      </c>
    </row>
    <row r="36" customHeight="1" spans="1:34">
      <c r="A36" s="27" t="s">
        <v>50</v>
      </c>
      <c r="B36" s="28" t="s">
        <v>33</v>
      </c>
      <c r="C36" s="29" t="s">
        <v>6</v>
      </c>
      <c r="D36" s="30" t="s">
        <v>6</v>
      </c>
      <c r="E36" s="30" t="s">
        <v>6</v>
      </c>
      <c r="F36" s="30" t="s">
        <v>6</v>
      </c>
      <c r="G36" s="30" t="s">
        <v>6</v>
      </c>
      <c r="H36" s="30" t="s">
        <v>5</v>
      </c>
      <c r="I36" s="29" t="s">
        <v>5</v>
      </c>
      <c r="J36" s="29" t="s">
        <v>6</v>
      </c>
      <c r="K36" s="30" t="s">
        <v>6</v>
      </c>
      <c r="L36" s="30" t="s">
        <v>6</v>
      </c>
      <c r="M36" s="30" t="s">
        <v>6</v>
      </c>
      <c r="N36" s="30" t="s">
        <v>6</v>
      </c>
      <c r="O36" s="30" t="s">
        <v>5</v>
      </c>
      <c r="P36" s="29" t="s">
        <v>5</v>
      </c>
      <c r="Q36" s="29" t="s">
        <v>6</v>
      </c>
      <c r="R36" s="29" t="s">
        <v>6</v>
      </c>
      <c r="S36" s="29" t="s">
        <v>6</v>
      </c>
      <c r="T36" s="30" t="s">
        <v>6</v>
      </c>
      <c r="U36" s="30" t="s">
        <v>6</v>
      </c>
      <c r="V36" s="30" t="s">
        <v>5</v>
      </c>
      <c r="W36" s="29" t="s">
        <v>5</v>
      </c>
      <c r="X36" s="29" t="s">
        <v>6</v>
      </c>
      <c r="Y36" s="30" t="s">
        <v>6</v>
      </c>
      <c r="Z36" s="30" t="s">
        <v>6</v>
      </c>
      <c r="AA36" s="30" t="s">
        <v>6</v>
      </c>
      <c r="AB36" s="30" t="s">
        <v>6</v>
      </c>
      <c r="AC36" s="30" t="s">
        <v>5</v>
      </c>
      <c r="AD36" s="29" t="s">
        <v>5</v>
      </c>
      <c r="AE36" s="29" t="s">
        <v>6</v>
      </c>
      <c r="AF36" s="29" t="s">
        <v>6</v>
      </c>
      <c r="AG36" s="29"/>
      <c r="AH36" s="32" t="s">
        <v>48</v>
      </c>
    </row>
    <row r="37" customHeight="1" spans="1:34">
      <c r="A37" s="27" t="s">
        <v>51</v>
      </c>
      <c r="B37" s="28" t="s">
        <v>33</v>
      </c>
      <c r="C37" s="29" t="s">
        <v>6</v>
      </c>
      <c r="D37" s="30" t="s">
        <v>6</v>
      </c>
      <c r="E37" s="30" t="s">
        <v>6</v>
      </c>
      <c r="F37" s="30" t="s">
        <v>6</v>
      </c>
      <c r="G37" s="30" t="s">
        <v>6</v>
      </c>
      <c r="H37" s="30" t="s">
        <v>5</v>
      </c>
      <c r="I37" s="29" t="s">
        <v>5</v>
      </c>
      <c r="J37" s="29" t="s">
        <v>6</v>
      </c>
      <c r="K37" s="30" t="s">
        <v>6</v>
      </c>
      <c r="L37" s="30" t="s">
        <v>6</v>
      </c>
      <c r="M37" s="30" t="s">
        <v>6</v>
      </c>
      <c r="N37" s="30" t="s">
        <v>6</v>
      </c>
      <c r="O37" s="30" t="s">
        <v>5</v>
      </c>
      <c r="P37" s="29" t="s">
        <v>5</v>
      </c>
      <c r="Q37" s="29" t="s">
        <v>6</v>
      </c>
      <c r="R37" s="29" t="s">
        <v>6</v>
      </c>
      <c r="S37" s="29" t="s">
        <v>6</v>
      </c>
      <c r="T37" s="30" t="s">
        <v>6</v>
      </c>
      <c r="U37" s="30" t="s">
        <v>6</v>
      </c>
      <c r="V37" s="30" t="s">
        <v>5</v>
      </c>
      <c r="W37" s="29" t="s">
        <v>5</v>
      </c>
      <c r="X37" s="29" t="s">
        <v>6</v>
      </c>
      <c r="Y37" s="30" t="s">
        <v>6</v>
      </c>
      <c r="Z37" s="30" t="s">
        <v>6</v>
      </c>
      <c r="AA37" s="30" t="s">
        <v>6</v>
      </c>
      <c r="AB37" s="30" t="s">
        <v>6</v>
      </c>
      <c r="AC37" s="30" t="s">
        <v>5</v>
      </c>
      <c r="AD37" s="29" t="s">
        <v>5</v>
      </c>
      <c r="AE37" s="29" t="s">
        <v>6</v>
      </c>
      <c r="AF37" s="29" t="s">
        <v>6</v>
      </c>
      <c r="AG37" s="29"/>
      <c r="AH37" s="32" t="s">
        <v>48</v>
      </c>
    </row>
    <row r="38" customHeight="1" spans="1:34">
      <c r="A38" s="27" t="s">
        <v>52</v>
      </c>
      <c r="B38" s="28" t="s">
        <v>4</v>
      </c>
      <c r="C38" s="29" t="s">
        <v>6</v>
      </c>
      <c r="D38" s="30" t="s">
        <v>6</v>
      </c>
      <c r="E38" s="30" t="s">
        <v>6</v>
      </c>
      <c r="F38" s="30" t="s">
        <v>6</v>
      </c>
      <c r="G38" s="30" t="s">
        <v>6</v>
      </c>
      <c r="H38" s="30" t="s">
        <v>5</v>
      </c>
      <c r="I38" s="29" t="s">
        <v>5</v>
      </c>
      <c r="J38" s="29" t="s">
        <v>6</v>
      </c>
      <c r="K38" s="30" t="s">
        <v>6</v>
      </c>
      <c r="L38" s="30" t="s">
        <v>6</v>
      </c>
      <c r="M38" s="30" t="s">
        <v>6</v>
      </c>
      <c r="N38" s="30" t="s">
        <v>6</v>
      </c>
      <c r="O38" s="30" t="s">
        <v>5</v>
      </c>
      <c r="P38" s="29" t="s">
        <v>5</v>
      </c>
      <c r="Q38" s="29" t="s">
        <v>6</v>
      </c>
      <c r="R38" s="29" t="s">
        <v>6</v>
      </c>
      <c r="S38" s="29" t="s">
        <v>6</v>
      </c>
      <c r="T38" s="30" t="s">
        <v>6</v>
      </c>
      <c r="U38" s="30" t="s">
        <v>6</v>
      </c>
      <c r="V38" s="30" t="s">
        <v>5</v>
      </c>
      <c r="W38" s="29" t="s">
        <v>5</v>
      </c>
      <c r="X38" s="29" t="s">
        <v>6</v>
      </c>
      <c r="Y38" s="30" t="s">
        <v>6</v>
      </c>
      <c r="Z38" s="30" t="s">
        <v>6</v>
      </c>
      <c r="AA38" s="30" t="s">
        <v>6</v>
      </c>
      <c r="AB38" s="30" t="s">
        <v>6</v>
      </c>
      <c r="AC38" s="30" t="s">
        <v>5</v>
      </c>
      <c r="AD38" s="29" t="s">
        <v>5</v>
      </c>
      <c r="AE38" s="29" t="s">
        <v>6</v>
      </c>
      <c r="AF38" s="29" t="s">
        <v>6</v>
      </c>
      <c r="AG38" s="29"/>
      <c r="AH38" s="32" t="s">
        <v>48</v>
      </c>
    </row>
    <row r="39" customHeight="1" spans="1:34">
      <c r="A39" s="27" t="s">
        <v>53</v>
      </c>
      <c r="B39" s="28" t="s">
        <v>4</v>
      </c>
      <c r="C39" s="29" t="s">
        <v>6</v>
      </c>
      <c r="D39" s="30" t="s">
        <v>6</v>
      </c>
      <c r="E39" s="30" t="s">
        <v>6</v>
      </c>
      <c r="F39" s="30" t="s">
        <v>6</v>
      </c>
      <c r="G39" s="30" t="s">
        <v>6</v>
      </c>
      <c r="H39" s="30" t="s">
        <v>5</v>
      </c>
      <c r="I39" s="29" t="s">
        <v>5</v>
      </c>
      <c r="J39" s="29" t="s">
        <v>6</v>
      </c>
      <c r="K39" s="30" t="s">
        <v>6</v>
      </c>
      <c r="L39" s="30" t="s">
        <v>6</v>
      </c>
      <c r="M39" s="30" t="s">
        <v>6</v>
      </c>
      <c r="N39" s="30" t="s">
        <v>6</v>
      </c>
      <c r="O39" s="30" t="s">
        <v>5</v>
      </c>
      <c r="P39" s="29" t="s">
        <v>5</v>
      </c>
      <c r="Q39" s="29" t="s">
        <v>6</v>
      </c>
      <c r="R39" s="29" t="s">
        <v>6</v>
      </c>
      <c r="S39" s="29" t="s">
        <v>6</v>
      </c>
      <c r="T39" s="30" t="s">
        <v>6</v>
      </c>
      <c r="U39" s="30" t="s">
        <v>6</v>
      </c>
      <c r="V39" s="30" t="s">
        <v>5</v>
      </c>
      <c r="W39" s="29" t="s">
        <v>5</v>
      </c>
      <c r="X39" s="29" t="s">
        <v>6</v>
      </c>
      <c r="Y39" s="30" t="s">
        <v>6</v>
      </c>
      <c r="Z39" s="30" t="s">
        <v>6</v>
      </c>
      <c r="AA39" s="30" t="s">
        <v>6</v>
      </c>
      <c r="AB39" s="30" t="s">
        <v>6</v>
      </c>
      <c r="AC39" s="30" t="s">
        <v>5</v>
      </c>
      <c r="AD39" s="29" t="s">
        <v>5</v>
      </c>
      <c r="AE39" s="29" t="s">
        <v>6</v>
      </c>
      <c r="AF39" s="29" t="s">
        <v>6</v>
      </c>
      <c r="AG39" s="29"/>
      <c r="AH39" s="32" t="s">
        <v>48</v>
      </c>
    </row>
    <row r="40" customHeight="1" spans="1:34">
      <c r="A40" s="27" t="s">
        <v>54</v>
      </c>
      <c r="B40" s="28" t="s">
        <v>33</v>
      </c>
      <c r="C40" s="29" t="s">
        <v>6</v>
      </c>
      <c r="D40" s="30" t="s">
        <v>6</v>
      </c>
      <c r="E40" s="30" t="s">
        <v>6</v>
      </c>
      <c r="F40" s="30" t="s">
        <v>6</v>
      </c>
      <c r="G40" s="30" t="s">
        <v>6</v>
      </c>
      <c r="H40" s="30" t="s">
        <v>5</v>
      </c>
      <c r="I40" s="29" t="s">
        <v>5</v>
      </c>
      <c r="J40" s="29" t="s">
        <v>6</v>
      </c>
      <c r="K40" s="30" t="s">
        <v>6</v>
      </c>
      <c r="L40" s="30" t="s">
        <v>6</v>
      </c>
      <c r="M40" s="30" t="s">
        <v>6</v>
      </c>
      <c r="N40" s="30" t="s">
        <v>6</v>
      </c>
      <c r="O40" s="30" t="s">
        <v>5</v>
      </c>
      <c r="P40" s="29" t="s">
        <v>5</v>
      </c>
      <c r="Q40" s="29" t="s">
        <v>6</v>
      </c>
      <c r="R40" s="29" t="s">
        <v>6</v>
      </c>
      <c r="S40" s="29" t="s">
        <v>6</v>
      </c>
      <c r="T40" s="30" t="s">
        <v>6</v>
      </c>
      <c r="U40" s="30" t="s">
        <v>6</v>
      </c>
      <c r="V40" s="30" t="s">
        <v>5</v>
      </c>
      <c r="W40" s="29" t="s">
        <v>5</v>
      </c>
      <c r="X40" s="29" t="s">
        <v>6</v>
      </c>
      <c r="Y40" s="30" t="s">
        <v>6</v>
      </c>
      <c r="Z40" s="30" t="s">
        <v>6</v>
      </c>
      <c r="AA40" s="30" t="s">
        <v>6</v>
      </c>
      <c r="AB40" s="30" t="s">
        <v>6</v>
      </c>
      <c r="AC40" s="30" t="s">
        <v>5</v>
      </c>
      <c r="AD40" s="29" t="s">
        <v>5</v>
      </c>
      <c r="AE40" s="29" t="s">
        <v>6</v>
      </c>
      <c r="AF40" s="29" t="s">
        <v>6</v>
      </c>
      <c r="AG40" s="29"/>
      <c r="AH40" s="32" t="s">
        <v>48</v>
      </c>
    </row>
    <row r="41" customHeight="1" spans="1:34">
      <c r="A41" s="27" t="s">
        <v>55</v>
      </c>
      <c r="B41" s="28" t="s">
        <v>33</v>
      </c>
      <c r="C41" s="29" t="s">
        <v>6</v>
      </c>
      <c r="D41" s="30" t="s">
        <v>6</v>
      </c>
      <c r="E41" s="30" t="s">
        <v>6</v>
      </c>
      <c r="F41" s="30" t="s">
        <v>6</v>
      </c>
      <c r="G41" s="30" t="s">
        <v>6</v>
      </c>
      <c r="H41" s="30" t="s">
        <v>5</v>
      </c>
      <c r="I41" s="29" t="s">
        <v>5</v>
      </c>
      <c r="J41" s="29" t="s">
        <v>6</v>
      </c>
      <c r="K41" s="30" t="s">
        <v>6</v>
      </c>
      <c r="L41" s="30" t="s">
        <v>6</v>
      </c>
      <c r="M41" s="30" t="s">
        <v>6</v>
      </c>
      <c r="N41" s="30" t="s">
        <v>6</v>
      </c>
      <c r="O41" s="30" t="s">
        <v>5</v>
      </c>
      <c r="P41" s="29" t="s">
        <v>5</v>
      </c>
      <c r="Q41" s="29" t="s">
        <v>6</v>
      </c>
      <c r="R41" s="29" t="s">
        <v>6</v>
      </c>
      <c r="S41" s="29" t="s">
        <v>6</v>
      </c>
      <c r="T41" s="30" t="s">
        <v>6</v>
      </c>
      <c r="U41" s="30" t="s">
        <v>6</v>
      </c>
      <c r="V41" s="30" t="s">
        <v>5</v>
      </c>
      <c r="W41" s="29" t="s">
        <v>5</v>
      </c>
      <c r="X41" s="29" t="s">
        <v>6</v>
      </c>
      <c r="Y41" s="30" t="s">
        <v>6</v>
      </c>
      <c r="Z41" s="30" t="s">
        <v>6</v>
      </c>
      <c r="AA41" s="30" t="s">
        <v>6</v>
      </c>
      <c r="AB41" s="30" t="s">
        <v>6</v>
      </c>
      <c r="AC41" s="30" t="s">
        <v>5</v>
      </c>
      <c r="AD41" s="29" t="s">
        <v>5</v>
      </c>
      <c r="AE41" s="29" t="s">
        <v>6</v>
      </c>
      <c r="AF41" s="29" t="s">
        <v>6</v>
      </c>
      <c r="AG41" s="29"/>
      <c r="AH41" s="32" t="s">
        <v>48</v>
      </c>
    </row>
    <row r="42" customHeight="1" spans="1:34">
      <c r="A42" s="27" t="s">
        <v>56</v>
      </c>
      <c r="B42" s="28" t="s">
        <v>4</v>
      </c>
      <c r="C42" s="29" t="s">
        <v>6</v>
      </c>
      <c r="D42" s="30" t="s">
        <v>6</v>
      </c>
      <c r="E42" s="30" t="s">
        <v>6</v>
      </c>
      <c r="F42" s="30" t="s">
        <v>6</v>
      </c>
      <c r="G42" s="30" t="s">
        <v>6</v>
      </c>
      <c r="H42" s="30" t="s">
        <v>5</v>
      </c>
      <c r="I42" s="29" t="s">
        <v>5</v>
      </c>
      <c r="J42" s="29" t="s">
        <v>6</v>
      </c>
      <c r="K42" s="30" t="s">
        <v>6</v>
      </c>
      <c r="L42" s="30" t="s">
        <v>6</v>
      </c>
      <c r="M42" s="30" t="s">
        <v>6</v>
      </c>
      <c r="N42" s="30" t="s">
        <v>6</v>
      </c>
      <c r="O42" s="30" t="s">
        <v>5</v>
      </c>
      <c r="P42" s="29" t="s">
        <v>5</v>
      </c>
      <c r="Q42" s="29" t="s">
        <v>6</v>
      </c>
      <c r="R42" s="29" t="s">
        <v>6</v>
      </c>
      <c r="S42" s="29" t="s">
        <v>6</v>
      </c>
      <c r="T42" s="30" t="s">
        <v>6</v>
      </c>
      <c r="U42" s="30" t="s">
        <v>6</v>
      </c>
      <c r="V42" s="30" t="s">
        <v>5</v>
      </c>
      <c r="W42" s="29" t="s">
        <v>5</v>
      </c>
      <c r="X42" s="29" t="s">
        <v>6</v>
      </c>
      <c r="Y42" s="30" t="s">
        <v>6</v>
      </c>
      <c r="Z42" s="30" t="s">
        <v>6</v>
      </c>
      <c r="AA42" s="30" t="s">
        <v>6</v>
      </c>
      <c r="AB42" s="30" t="s">
        <v>6</v>
      </c>
      <c r="AC42" s="30" t="s">
        <v>5</v>
      </c>
      <c r="AD42" s="29" t="s">
        <v>5</v>
      </c>
      <c r="AE42" s="29" t="s">
        <v>6</v>
      </c>
      <c r="AF42" s="29" t="s">
        <v>6</v>
      </c>
      <c r="AG42" s="29"/>
      <c r="AH42" s="32" t="s">
        <v>48</v>
      </c>
    </row>
    <row r="43" customHeight="1" spans="1:34">
      <c r="A43" s="35" t="s">
        <v>57</v>
      </c>
      <c r="B43" s="28" t="s">
        <v>33</v>
      </c>
      <c r="C43" s="29" t="s">
        <v>58</v>
      </c>
      <c r="D43" s="29" t="s">
        <v>58</v>
      </c>
      <c r="E43" s="29" t="s">
        <v>58</v>
      </c>
      <c r="F43" s="29" t="s">
        <v>58</v>
      </c>
      <c r="G43" s="29" t="s">
        <v>58</v>
      </c>
      <c r="H43" s="29" t="s">
        <v>58</v>
      </c>
      <c r="I43" s="29" t="s">
        <v>58</v>
      </c>
      <c r="J43" s="29" t="s">
        <v>58</v>
      </c>
      <c r="K43" s="29" t="s">
        <v>58</v>
      </c>
      <c r="L43" s="29" t="s">
        <v>58</v>
      </c>
      <c r="M43" s="29" t="s">
        <v>58</v>
      </c>
      <c r="N43" s="29" t="s">
        <v>58</v>
      </c>
      <c r="O43" s="29" t="s">
        <v>58</v>
      </c>
      <c r="P43" s="29" t="s">
        <v>58</v>
      </c>
      <c r="Q43" s="29" t="s">
        <v>58</v>
      </c>
      <c r="R43" s="29" t="s">
        <v>58</v>
      </c>
      <c r="S43" s="29" t="s">
        <v>58</v>
      </c>
      <c r="T43" s="29" t="s">
        <v>58</v>
      </c>
      <c r="U43" s="29" t="s">
        <v>58</v>
      </c>
      <c r="V43" s="29" t="s">
        <v>58</v>
      </c>
      <c r="W43" s="29" t="s">
        <v>58</v>
      </c>
      <c r="X43" s="29" t="s">
        <v>58</v>
      </c>
      <c r="Y43" s="29" t="s">
        <v>58</v>
      </c>
      <c r="Z43" s="29" t="s">
        <v>58</v>
      </c>
      <c r="AA43" s="29" t="s">
        <v>58</v>
      </c>
      <c r="AB43" s="29" t="s">
        <v>58</v>
      </c>
      <c r="AC43" s="29" t="s">
        <v>58</v>
      </c>
      <c r="AD43" s="29" t="s">
        <v>58</v>
      </c>
      <c r="AE43" s="29" t="s">
        <v>58</v>
      </c>
      <c r="AF43" s="29" t="s">
        <v>58</v>
      </c>
      <c r="AG43" s="29"/>
      <c r="AH43" s="32" t="s">
        <v>48</v>
      </c>
    </row>
    <row r="44" customHeight="1" spans="1:34">
      <c r="A44" s="34" t="s">
        <v>59</v>
      </c>
      <c r="B44" s="23" t="s">
        <v>33</v>
      </c>
      <c r="C44" s="29" t="s">
        <v>6</v>
      </c>
      <c r="D44" s="29" t="s">
        <v>6</v>
      </c>
      <c r="E44" s="29" t="s">
        <v>6</v>
      </c>
      <c r="F44" s="29" t="s">
        <v>6</v>
      </c>
      <c r="G44" s="29" t="s">
        <v>6</v>
      </c>
      <c r="H44" s="29" t="s">
        <v>5</v>
      </c>
      <c r="I44" s="29" t="s">
        <v>5</v>
      </c>
      <c r="J44" s="29" t="s">
        <v>6</v>
      </c>
      <c r="K44" s="29" t="s">
        <v>6</v>
      </c>
      <c r="L44" s="29" t="s">
        <v>6</v>
      </c>
      <c r="M44" s="29" t="s">
        <v>6</v>
      </c>
      <c r="N44" s="29" t="s">
        <v>6</v>
      </c>
      <c r="O44" s="29" t="s">
        <v>5</v>
      </c>
      <c r="P44" s="29" t="s">
        <v>5</v>
      </c>
      <c r="Q44" s="29" t="s">
        <v>6</v>
      </c>
      <c r="R44" s="29" t="s">
        <v>6</v>
      </c>
      <c r="S44" s="29" t="s">
        <v>6</v>
      </c>
      <c r="T44" s="29" t="s">
        <v>6</v>
      </c>
      <c r="U44" s="29" t="s">
        <v>6</v>
      </c>
      <c r="V44" s="29" t="s">
        <v>5</v>
      </c>
      <c r="W44" s="29" t="s">
        <v>5</v>
      </c>
      <c r="X44" s="29" t="s">
        <v>6</v>
      </c>
      <c r="Y44" s="29" t="s">
        <v>6</v>
      </c>
      <c r="Z44" s="29" t="s">
        <v>6</v>
      </c>
      <c r="AA44" s="29" t="s">
        <v>6</v>
      </c>
      <c r="AB44" s="29" t="s">
        <v>6</v>
      </c>
      <c r="AC44" s="29" t="s">
        <v>5</v>
      </c>
      <c r="AD44" s="29" t="s">
        <v>5</v>
      </c>
      <c r="AE44" s="29" t="s">
        <v>6</v>
      </c>
      <c r="AF44" s="29" t="s">
        <v>6</v>
      </c>
      <c r="AG44" s="29"/>
      <c r="AH44" s="32" t="s">
        <v>48</v>
      </c>
    </row>
    <row r="45" customHeight="1" spans="1:34">
      <c r="A45" s="34" t="s">
        <v>60</v>
      </c>
      <c r="B45" s="23" t="s">
        <v>4</v>
      </c>
      <c r="C45" s="29" t="s">
        <v>6</v>
      </c>
      <c r="D45" s="30" t="s">
        <v>6</v>
      </c>
      <c r="E45" s="30" t="s">
        <v>6</v>
      </c>
      <c r="F45" s="30" t="s">
        <v>6</v>
      </c>
      <c r="G45" s="30" t="s">
        <v>6</v>
      </c>
      <c r="H45" s="30" t="s">
        <v>5</v>
      </c>
      <c r="I45" s="29" t="s">
        <v>5</v>
      </c>
      <c r="J45" s="29" t="s">
        <v>6</v>
      </c>
      <c r="K45" s="30" t="s">
        <v>6</v>
      </c>
      <c r="L45" s="30" t="s">
        <v>6</v>
      </c>
      <c r="M45" s="30" t="s">
        <v>6</v>
      </c>
      <c r="N45" s="30" t="s">
        <v>6</v>
      </c>
      <c r="O45" s="30" t="s">
        <v>5</v>
      </c>
      <c r="P45" s="29" t="s">
        <v>5</v>
      </c>
      <c r="Q45" s="29" t="s">
        <v>6</v>
      </c>
      <c r="R45" s="29" t="s">
        <v>6</v>
      </c>
      <c r="S45" s="29" t="s">
        <v>6</v>
      </c>
      <c r="T45" s="30" t="s">
        <v>6</v>
      </c>
      <c r="U45" s="30" t="s">
        <v>6</v>
      </c>
      <c r="V45" s="30" t="s">
        <v>5</v>
      </c>
      <c r="W45" s="29" t="s">
        <v>5</v>
      </c>
      <c r="X45" s="29" t="s">
        <v>6</v>
      </c>
      <c r="Y45" s="30" t="s">
        <v>6</v>
      </c>
      <c r="Z45" s="30" t="s">
        <v>6</v>
      </c>
      <c r="AA45" s="30" t="s">
        <v>6</v>
      </c>
      <c r="AB45" s="30" t="s">
        <v>6</v>
      </c>
      <c r="AC45" s="30" t="s">
        <v>5</v>
      </c>
      <c r="AD45" s="29" t="s">
        <v>5</v>
      </c>
      <c r="AE45" s="29" t="s">
        <v>6</v>
      </c>
      <c r="AF45" s="29" t="s">
        <v>6</v>
      </c>
      <c r="AG45" s="29"/>
      <c r="AH45" s="32" t="s">
        <v>48</v>
      </c>
    </row>
    <row r="46" customHeight="1" spans="1:34">
      <c r="A46" s="34" t="s">
        <v>61</v>
      </c>
      <c r="B46" s="23" t="s">
        <v>62</v>
      </c>
      <c r="C46" s="29" t="s">
        <v>6</v>
      </c>
      <c r="D46" s="30" t="s">
        <v>6</v>
      </c>
      <c r="E46" s="30" t="s">
        <v>6</v>
      </c>
      <c r="F46" s="30" t="s">
        <v>6</v>
      </c>
      <c r="G46" s="30" t="s">
        <v>6</v>
      </c>
      <c r="H46" s="30" t="s">
        <v>5</v>
      </c>
      <c r="I46" s="29" t="s">
        <v>5</v>
      </c>
      <c r="J46" s="29" t="s">
        <v>6</v>
      </c>
      <c r="K46" s="30" t="s">
        <v>6</v>
      </c>
      <c r="L46" s="30" t="s">
        <v>6</v>
      </c>
      <c r="M46" s="30" t="s">
        <v>6</v>
      </c>
      <c r="N46" s="30" t="s">
        <v>6</v>
      </c>
      <c r="O46" s="30" t="s">
        <v>5</v>
      </c>
      <c r="P46" s="29" t="s">
        <v>5</v>
      </c>
      <c r="Q46" s="29" t="s">
        <v>6</v>
      </c>
      <c r="R46" s="29" t="s">
        <v>6</v>
      </c>
      <c r="S46" s="29" t="s">
        <v>6</v>
      </c>
      <c r="T46" s="30" t="s">
        <v>6</v>
      </c>
      <c r="U46" s="30" t="s">
        <v>6</v>
      </c>
      <c r="V46" s="30" t="s">
        <v>5</v>
      </c>
      <c r="W46" s="29" t="s">
        <v>5</v>
      </c>
      <c r="X46" s="29" t="s">
        <v>6</v>
      </c>
      <c r="Y46" s="30" t="s">
        <v>6</v>
      </c>
      <c r="Z46" s="30" t="s">
        <v>6</v>
      </c>
      <c r="AA46" s="30" t="s">
        <v>6</v>
      </c>
      <c r="AB46" s="30" t="s">
        <v>6</v>
      </c>
      <c r="AC46" s="30" t="s">
        <v>5</v>
      </c>
      <c r="AD46" s="29" t="s">
        <v>5</v>
      </c>
      <c r="AE46" s="29" t="s">
        <v>6</v>
      </c>
      <c r="AF46" s="29" t="s">
        <v>6</v>
      </c>
      <c r="AG46" s="29"/>
      <c r="AH46" s="32" t="s">
        <v>48</v>
      </c>
    </row>
    <row r="47" customHeight="1" spans="1:34">
      <c r="A47" s="34" t="s">
        <v>63</v>
      </c>
      <c r="B47" s="23" t="s">
        <v>12</v>
      </c>
      <c r="C47" s="29" t="s">
        <v>6</v>
      </c>
      <c r="D47" s="30" t="s">
        <v>64</v>
      </c>
      <c r="E47" s="30" t="s">
        <v>64</v>
      </c>
      <c r="F47" s="30" t="s">
        <v>5</v>
      </c>
      <c r="G47" s="30" t="s">
        <v>5</v>
      </c>
      <c r="H47" s="30" t="s">
        <v>18</v>
      </c>
      <c r="I47" s="29" t="s">
        <v>9</v>
      </c>
      <c r="J47" s="29" t="s">
        <v>6</v>
      </c>
      <c r="K47" s="30" t="s">
        <v>9</v>
      </c>
      <c r="L47" s="30" t="s">
        <v>64</v>
      </c>
      <c r="M47" s="30" t="s">
        <v>64</v>
      </c>
      <c r="N47" s="30" t="s">
        <v>5</v>
      </c>
      <c r="O47" s="30" t="s">
        <v>5</v>
      </c>
      <c r="P47" s="29" t="s">
        <v>18</v>
      </c>
      <c r="Q47" s="29" t="s">
        <v>6</v>
      </c>
      <c r="R47" s="29" t="s">
        <v>9</v>
      </c>
      <c r="S47" s="29" t="s">
        <v>18</v>
      </c>
      <c r="T47" s="30" t="s">
        <v>9</v>
      </c>
      <c r="U47" s="30" t="s">
        <v>18</v>
      </c>
      <c r="V47" s="30" t="s">
        <v>5</v>
      </c>
      <c r="W47" s="29" t="s">
        <v>5</v>
      </c>
      <c r="X47" s="29" t="s">
        <v>6</v>
      </c>
      <c r="Y47" s="30" t="s">
        <v>9</v>
      </c>
      <c r="Z47" s="30" t="s">
        <v>18</v>
      </c>
      <c r="AA47" s="30" t="s">
        <v>9</v>
      </c>
      <c r="AB47" s="30" t="s">
        <v>64</v>
      </c>
      <c r="AC47" s="30" t="s">
        <v>5</v>
      </c>
      <c r="AD47" s="29" t="s">
        <v>6</v>
      </c>
      <c r="AE47" s="29" t="s">
        <v>18</v>
      </c>
      <c r="AF47" s="29" t="s">
        <v>18</v>
      </c>
      <c r="AG47" s="29"/>
      <c r="AH47" s="32" t="s">
        <v>65</v>
      </c>
    </row>
    <row r="48" customHeight="1" spans="1:34">
      <c r="A48" s="34" t="s">
        <v>66</v>
      </c>
      <c r="B48" s="23" t="s">
        <v>4</v>
      </c>
      <c r="C48" s="30" t="s">
        <v>9</v>
      </c>
      <c r="D48" s="33" t="s">
        <v>6</v>
      </c>
      <c r="E48" s="30" t="s">
        <v>18</v>
      </c>
      <c r="F48" s="36" t="s">
        <v>64</v>
      </c>
      <c r="G48" s="36" t="s">
        <v>64</v>
      </c>
      <c r="H48" s="29" t="s">
        <v>5</v>
      </c>
      <c r="I48" s="29" t="s">
        <v>5</v>
      </c>
      <c r="J48" s="30" t="s">
        <v>9</v>
      </c>
      <c r="K48" s="33" t="s">
        <v>6</v>
      </c>
      <c r="L48" s="31" t="s">
        <v>18</v>
      </c>
      <c r="M48" s="33" t="s">
        <v>9</v>
      </c>
      <c r="N48" s="36" t="s">
        <v>6</v>
      </c>
      <c r="O48" s="36" t="s">
        <v>64</v>
      </c>
      <c r="P48" s="29" t="s">
        <v>5</v>
      </c>
      <c r="Q48" s="29" t="s">
        <v>5</v>
      </c>
      <c r="R48" s="30" t="s">
        <v>6</v>
      </c>
      <c r="S48" s="31" t="s">
        <v>6</v>
      </c>
      <c r="T48" s="31" t="s">
        <v>18</v>
      </c>
      <c r="U48" s="30" t="s">
        <v>6</v>
      </c>
      <c r="V48" s="33" t="s">
        <v>64</v>
      </c>
      <c r="W48" s="29" t="s">
        <v>64</v>
      </c>
      <c r="X48" s="33" t="s">
        <v>5</v>
      </c>
      <c r="Y48" s="30" t="s">
        <v>5</v>
      </c>
      <c r="Z48" s="36" t="s">
        <v>6</v>
      </c>
      <c r="AA48" s="36" t="s">
        <v>6</v>
      </c>
      <c r="AB48" s="29" t="s">
        <v>18</v>
      </c>
      <c r="AC48" s="29" t="s">
        <v>64</v>
      </c>
      <c r="AD48" s="31" t="s">
        <v>5</v>
      </c>
      <c r="AE48" s="31" t="s">
        <v>6</v>
      </c>
      <c r="AF48" s="31" t="s">
        <v>6</v>
      </c>
      <c r="AG48" s="31"/>
      <c r="AH48" s="32" t="s">
        <v>65</v>
      </c>
    </row>
    <row r="49" customHeight="1" spans="1:34">
      <c r="A49" s="34" t="s">
        <v>67</v>
      </c>
      <c r="B49" s="23" t="s">
        <v>4</v>
      </c>
      <c r="C49" s="33" t="s">
        <v>5</v>
      </c>
      <c r="D49" s="36" t="s">
        <v>18</v>
      </c>
      <c r="E49" s="36" t="s">
        <v>9</v>
      </c>
      <c r="F49" s="29" t="s">
        <v>6</v>
      </c>
      <c r="G49" s="29" t="s">
        <v>18</v>
      </c>
      <c r="H49" s="30" t="s">
        <v>64</v>
      </c>
      <c r="I49" s="30" t="s">
        <v>64</v>
      </c>
      <c r="J49" s="33" t="s">
        <v>5</v>
      </c>
      <c r="K49" s="31" t="s">
        <v>5</v>
      </c>
      <c r="L49" s="36" t="s">
        <v>6</v>
      </c>
      <c r="M49" s="36" t="s">
        <v>18</v>
      </c>
      <c r="N49" s="29" t="s">
        <v>18</v>
      </c>
      <c r="O49" s="29" t="s">
        <v>18</v>
      </c>
      <c r="P49" s="30" t="s">
        <v>64</v>
      </c>
      <c r="Q49" s="30" t="s">
        <v>64</v>
      </c>
      <c r="R49" s="33" t="s">
        <v>5</v>
      </c>
      <c r="S49" s="36" t="s">
        <v>5</v>
      </c>
      <c r="T49" s="36" t="s">
        <v>6</v>
      </c>
      <c r="U49" s="29" t="s">
        <v>9</v>
      </c>
      <c r="V49" s="29" t="s">
        <v>6</v>
      </c>
      <c r="W49" s="30" t="s">
        <v>18</v>
      </c>
      <c r="X49" s="30" t="s">
        <v>64</v>
      </c>
      <c r="Y49" s="31" t="s">
        <v>64</v>
      </c>
      <c r="Z49" s="33" t="s">
        <v>5</v>
      </c>
      <c r="AA49" s="29" t="s">
        <v>5</v>
      </c>
      <c r="AB49" s="30" t="s">
        <v>9</v>
      </c>
      <c r="AC49" s="33" t="s">
        <v>18</v>
      </c>
      <c r="AD49" s="33" t="s">
        <v>64</v>
      </c>
      <c r="AE49" s="33" t="s">
        <v>64</v>
      </c>
      <c r="AF49" s="33" t="s">
        <v>5</v>
      </c>
      <c r="AG49" s="33"/>
      <c r="AH49" s="32" t="s">
        <v>65</v>
      </c>
    </row>
    <row r="50" customHeight="1" spans="1:34">
      <c r="A50" s="34" t="s">
        <v>68</v>
      </c>
      <c r="B50" s="23" t="s">
        <v>12</v>
      </c>
      <c r="C50" s="29" t="s">
        <v>64</v>
      </c>
      <c r="D50" s="30" t="s">
        <v>5</v>
      </c>
      <c r="E50" s="31" t="s">
        <v>5</v>
      </c>
      <c r="F50" s="33" t="s">
        <v>18</v>
      </c>
      <c r="G50" s="31" t="s">
        <v>6</v>
      </c>
      <c r="H50" s="31" t="s">
        <v>6</v>
      </c>
      <c r="I50" s="36" t="s">
        <v>18</v>
      </c>
      <c r="J50" s="29" t="s">
        <v>64</v>
      </c>
      <c r="K50" s="29" t="s">
        <v>64</v>
      </c>
      <c r="L50" s="30" t="s">
        <v>5</v>
      </c>
      <c r="M50" s="30" t="s">
        <v>5</v>
      </c>
      <c r="N50" s="31" t="s">
        <v>9</v>
      </c>
      <c r="O50" s="33" t="s">
        <v>6</v>
      </c>
      <c r="P50" s="29" t="s">
        <v>6</v>
      </c>
      <c r="Q50" s="33" t="s">
        <v>18</v>
      </c>
      <c r="R50" s="31" t="s">
        <v>64</v>
      </c>
      <c r="S50" s="30" t="s">
        <v>64</v>
      </c>
      <c r="T50" s="33" t="s">
        <v>5</v>
      </c>
      <c r="U50" s="36" t="s">
        <v>5</v>
      </c>
      <c r="V50" s="36" t="s">
        <v>18</v>
      </c>
      <c r="W50" s="29" t="s">
        <v>6</v>
      </c>
      <c r="X50" s="29" t="s">
        <v>9</v>
      </c>
      <c r="Y50" s="33" t="s">
        <v>6</v>
      </c>
      <c r="Z50" s="30" t="s">
        <v>64</v>
      </c>
      <c r="AA50" s="31" t="s">
        <v>5</v>
      </c>
      <c r="AB50" s="36" t="s">
        <v>6</v>
      </c>
      <c r="AC50" s="36" t="s">
        <v>6</v>
      </c>
      <c r="AD50" s="29" t="s">
        <v>18</v>
      </c>
      <c r="AE50" s="29" t="s">
        <v>18</v>
      </c>
      <c r="AF50" s="29" t="s">
        <v>9</v>
      </c>
      <c r="AG50" s="29"/>
      <c r="AH50" s="32" t="s">
        <v>65</v>
      </c>
    </row>
    <row r="51" customHeight="1" spans="1:34">
      <c r="A51" s="34" t="s">
        <v>69</v>
      </c>
      <c r="B51" s="23" t="s">
        <v>4</v>
      </c>
      <c r="C51" s="36" t="s">
        <v>18</v>
      </c>
      <c r="D51" s="29" t="s">
        <v>18</v>
      </c>
      <c r="E51" s="29" t="s">
        <v>6</v>
      </c>
      <c r="F51" s="30" t="s">
        <v>9</v>
      </c>
      <c r="G51" s="30" t="s">
        <v>9</v>
      </c>
      <c r="H51" s="33" t="s">
        <v>5</v>
      </c>
      <c r="I51" s="33" t="s">
        <v>6</v>
      </c>
      <c r="J51" s="36" t="s">
        <v>18</v>
      </c>
      <c r="K51" s="36" t="s">
        <v>18</v>
      </c>
      <c r="L51" s="29" t="s">
        <v>9</v>
      </c>
      <c r="M51" s="29" t="s">
        <v>6</v>
      </c>
      <c r="N51" s="30" t="s">
        <v>64</v>
      </c>
      <c r="O51" s="30" t="s">
        <v>5</v>
      </c>
      <c r="P51" s="33" t="s">
        <v>5</v>
      </c>
      <c r="Q51" s="36" t="s">
        <v>6</v>
      </c>
      <c r="R51" s="36" t="s">
        <v>18</v>
      </c>
      <c r="S51" s="29" t="s">
        <v>9</v>
      </c>
      <c r="T51" s="29" t="s">
        <v>64</v>
      </c>
      <c r="U51" s="31" t="s">
        <v>64</v>
      </c>
      <c r="V51" s="30" t="s">
        <v>5</v>
      </c>
      <c r="W51" s="33" t="s">
        <v>5</v>
      </c>
      <c r="X51" s="31" t="s">
        <v>18</v>
      </c>
      <c r="Y51" s="36" t="s">
        <v>18</v>
      </c>
      <c r="Z51" s="29" t="s">
        <v>9</v>
      </c>
      <c r="AA51" s="33" t="s">
        <v>64</v>
      </c>
      <c r="AB51" s="31" t="s">
        <v>5</v>
      </c>
      <c r="AC51" s="30" t="s">
        <v>5</v>
      </c>
      <c r="AD51" s="30" t="s">
        <v>9</v>
      </c>
      <c r="AE51" s="30" t="s">
        <v>6</v>
      </c>
      <c r="AF51" s="30" t="s">
        <v>64</v>
      </c>
      <c r="AG51" s="30"/>
      <c r="AH51" s="32" t="s">
        <v>65</v>
      </c>
    </row>
    <row r="52" customHeight="1" spans="1:34">
      <c r="A52" s="34" t="s">
        <v>70</v>
      </c>
      <c r="B52" s="23" t="s">
        <v>12</v>
      </c>
      <c r="C52" s="29" t="s">
        <v>5</v>
      </c>
      <c r="D52" s="31" t="s">
        <v>6</v>
      </c>
      <c r="E52" s="33" t="s">
        <v>6</v>
      </c>
      <c r="F52" s="31" t="s">
        <v>6</v>
      </c>
      <c r="G52" s="33" t="s">
        <v>6</v>
      </c>
      <c r="H52" s="36" t="s">
        <v>5</v>
      </c>
      <c r="I52" s="29" t="s">
        <v>5</v>
      </c>
      <c r="J52" s="29" t="s">
        <v>6</v>
      </c>
      <c r="K52" s="30" t="s">
        <v>6</v>
      </c>
      <c r="L52" s="33" t="s">
        <v>6</v>
      </c>
      <c r="M52" s="31" t="s">
        <v>6</v>
      </c>
      <c r="N52" s="33" t="s">
        <v>6</v>
      </c>
      <c r="O52" s="31" t="s">
        <v>5</v>
      </c>
      <c r="P52" s="36" t="s">
        <v>5</v>
      </c>
      <c r="Q52" s="29" t="s">
        <v>6</v>
      </c>
      <c r="R52" s="29" t="s">
        <v>5</v>
      </c>
      <c r="S52" s="33" t="s">
        <v>6</v>
      </c>
      <c r="T52" s="30" t="s">
        <v>6</v>
      </c>
      <c r="U52" s="33" t="s">
        <v>6</v>
      </c>
      <c r="V52" s="31" t="s">
        <v>6</v>
      </c>
      <c r="W52" s="36" t="s">
        <v>5</v>
      </c>
      <c r="X52" s="36" t="s">
        <v>6</v>
      </c>
      <c r="Y52" s="29" t="s">
        <v>6</v>
      </c>
      <c r="Z52" s="29" t="s">
        <v>6</v>
      </c>
      <c r="AA52" s="30" t="s">
        <v>6</v>
      </c>
      <c r="AB52" s="33" t="s">
        <v>6</v>
      </c>
      <c r="AC52" s="31" t="s">
        <v>5</v>
      </c>
      <c r="AD52" s="36" t="s">
        <v>5</v>
      </c>
      <c r="AE52" s="36" t="s">
        <v>6</v>
      </c>
      <c r="AF52" s="36" t="s">
        <v>6</v>
      </c>
      <c r="AG52" s="36"/>
      <c r="AH52" s="32" t="s">
        <v>71</v>
      </c>
    </row>
    <row r="53" customHeight="1" spans="1:34">
      <c r="A53" s="34" t="s">
        <v>72</v>
      </c>
      <c r="B53" s="23" t="s">
        <v>40</v>
      </c>
      <c r="C53" s="36" t="s">
        <v>18</v>
      </c>
      <c r="D53" s="29" t="s">
        <v>18</v>
      </c>
      <c r="E53" s="29" t="s">
        <v>64</v>
      </c>
      <c r="F53" s="29" t="s">
        <v>64</v>
      </c>
      <c r="G53" s="30" t="s">
        <v>5</v>
      </c>
      <c r="H53" s="29" t="s">
        <v>5</v>
      </c>
      <c r="I53" s="33" t="s">
        <v>18</v>
      </c>
      <c r="J53" s="30" t="s">
        <v>18</v>
      </c>
      <c r="K53" s="36" t="s">
        <v>6</v>
      </c>
      <c r="L53" s="29" t="s">
        <v>6</v>
      </c>
      <c r="M53" s="29" t="s">
        <v>18</v>
      </c>
      <c r="N53" s="29" t="s">
        <v>64</v>
      </c>
      <c r="O53" s="29" t="s">
        <v>5</v>
      </c>
      <c r="P53" s="30" t="s">
        <v>5</v>
      </c>
      <c r="Q53" s="29" t="s">
        <v>18</v>
      </c>
      <c r="R53" s="36" t="s">
        <v>6</v>
      </c>
      <c r="S53" s="29" t="s">
        <v>18</v>
      </c>
      <c r="T53" s="29" t="s">
        <v>64</v>
      </c>
      <c r="U53" s="36" t="s">
        <v>64</v>
      </c>
      <c r="V53" s="29" t="s">
        <v>5</v>
      </c>
      <c r="W53" s="29" t="s">
        <v>5</v>
      </c>
      <c r="X53" s="29" t="s">
        <v>18</v>
      </c>
      <c r="Y53" s="29" t="s">
        <v>6</v>
      </c>
      <c r="Z53" s="33" t="s">
        <v>6</v>
      </c>
      <c r="AA53" s="30" t="s">
        <v>18</v>
      </c>
      <c r="AB53" s="36" t="s">
        <v>64</v>
      </c>
      <c r="AC53" s="29" t="s">
        <v>5</v>
      </c>
      <c r="AD53" s="29" t="s">
        <v>6</v>
      </c>
      <c r="AE53" s="29" t="s">
        <v>6</v>
      </c>
      <c r="AF53" s="29" t="s">
        <v>64</v>
      </c>
      <c r="AG53" s="29"/>
      <c r="AH53" s="32" t="s">
        <v>71</v>
      </c>
    </row>
    <row r="54" customHeight="1" spans="1:34">
      <c r="A54" s="34" t="s">
        <v>73</v>
      </c>
      <c r="B54" s="23" t="s">
        <v>12</v>
      </c>
      <c r="C54" s="33" t="s">
        <v>64</v>
      </c>
      <c r="D54" s="36" t="s">
        <v>64</v>
      </c>
      <c r="E54" s="36" t="s">
        <v>5</v>
      </c>
      <c r="F54" s="29" t="s">
        <v>5</v>
      </c>
      <c r="G54" s="29" t="s">
        <v>6</v>
      </c>
      <c r="H54" s="30" t="s">
        <v>6</v>
      </c>
      <c r="I54" s="33" t="s">
        <v>18</v>
      </c>
      <c r="J54" s="30" t="s">
        <v>18</v>
      </c>
      <c r="K54" s="33" t="s">
        <v>64</v>
      </c>
      <c r="L54" s="36" t="s">
        <v>64</v>
      </c>
      <c r="M54" s="36" t="s">
        <v>5</v>
      </c>
      <c r="N54" s="29" t="s">
        <v>5</v>
      </c>
      <c r="O54" s="29" t="s">
        <v>18</v>
      </c>
      <c r="P54" s="30" t="s">
        <v>6</v>
      </c>
      <c r="Q54" s="30" t="s">
        <v>6</v>
      </c>
      <c r="R54" s="33" t="s">
        <v>64</v>
      </c>
      <c r="S54" s="36" t="s">
        <v>5</v>
      </c>
      <c r="T54" s="36" t="s">
        <v>18</v>
      </c>
      <c r="U54" s="29" t="s">
        <v>6</v>
      </c>
      <c r="V54" s="29" t="s">
        <v>6</v>
      </c>
      <c r="W54" s="30" t="s">
        <v>18</v>
      </c>
      <c r="X54" s="33" t="s">
        <v>64</v>
      </c>
      <c r="Y54" s="33" t="s">
        <v>64</v>
      </c>
      <c r="Z54" s="33" t="s">
        <v>5</v>
      </c>
      <c r="AA54" s="36" t="s">
        <v>5</v>
      </c>
      <c r="AB54" s="29" t="s">
        <v>18</v>
      </c>
      <c r="AC54" s="30" t="s">
        <v>18</v>
      </c>
      <c r="AD54" s="33" t="s">
        <v>64</v>
      </c>
      <c r="AE54" s="33" t="s">
        <v>64</v>
      </c>
      <c r="AF54" s="33" t="s">
        <v>5</v>
      </c>
      <c r="AG54" s="33"/>
      <c r="AH54" s="32" t="s">
        <v>71</v>
      </c>
    </row>
    <row r="55" customHeight="1" spans="1:34">
      <c r="A55" s="34" t="s">
        <v>74</v>
      </c>
      <c r="B55" s="23" t="s">
        <v>40</v>
      </c>
      <c r="C55" s="29" t="s">
        <v>6</v>
      </c>
      <c r="D55" s="29" t="s">
        <v>18</v>
      </c>
      <c r="E55" s="29" t="s">
        <v>18</v>
      </c>
      <c r="F55" s="36" t="s">
        <v>64</v>
      </c>
      <c r="G55" s="29" t="s">
        <v>64</v>
      </c>
      <c r="H55" s="29" t="s">
        <v>5</v>
      </c>
      <c r="I55" s="29" t="s">
        <v>5</v>
      </c>
      <c r="J55" s="36" t="s">
        <v>6</v>
      </c>
      <c r="K55" s="29" t="s">
        <v>18</v>
      </c>
      <c r="L55" s="29" t="s">
        <v>18</v>
      </c>
      <c r="M55" s="29" t="s">
        <v>18</v>
      </c>
      <c r="N55" s="33" t="s">
        <v>64</v>
      </c>
      <c r="O55" s="30" t="s">
        <v>5</v>
      </c>
      <c r="P55" s="29" t="s">
        <v>5</v>
      </c>
      <c r="Q55" s="30" t="s">
        <v>18</v>
      </c>
      <c r="R55" s="29" t="s">
        <v>6</v>
      </c>
      <c r="S55" s="33" t="s">
        <v>18</v>
      </c>
      <c r="T55" s="29" t="s">
        <v>18</v>
      </c>
      <c r="U55" s="33" t="s">
        <v>64</v>
      </c>
      <c r="V55" s="29" t="s">
        <v>5</v>
      </c>
      <c r="W55" s="36" t="s">
        <v>6</v>
      </c>
      <c r="X55" s="29" t="s">
        <v>6</v>
      </c>
      <c r="Y55" s="29" t="s">
        <v>18</v>
      </c>
      <c r="Z55" s="30" t="s">
        <v>6</v>
      </c>
      <c r="AA55" s="29" t="s">
        <v>64</v>
      </c>
      <c r="AB55" s="36" t="s">
        <v>64</v>
      </c>
      <c r="AC55" s="36" t="s">
        <v>5</v>
      </c>
      <c r="AD55" s="29" t="s">
        <v>5</v>
      </c>
      <c r="AE55" s="29" t="s">
        <v>6</v>
      </c>
      <c r="AF55" s="29" t="s">
        <v>18</v>
      </c>
      <c r="AG55" s="29"/>
      <c r="AH55" s="32" t="s">
        <v>71</v>
      </c>
    </row>
    <row r="56" customHeight="1" spans="1:34">
      <c r="A56" s="34" t="s">
        <v>75</v>
      </c>
      <c r="B56" s="23" t="s">
        <v>62</v>
      </c>
      <c r="C56" s="33" t="s">
        <v>5</v>
      </c>
      <c r="D56" s="30" t="s">
        <v>6</v>
      </c>
      <c r="E56" s="30" t="s">
        <v>6</v>
      </c>
      <c r="F56" s="36" t="s">
        <v>6</v>
      </c>
      <c r="G56" s="36" t="s">
        <v>18</v>
      </c>
      <c r="H56" s="29" t="s">
        <v>64</v>
      </c>
      <c r="I56" s="29" t="s">
        <v>64</v>
      </c>
      <c r="J56" s="33" t="s">
        <v>5</v>
      </c>
      <c r="K56" s="30" t="s">
        <v>5</v>
      </c>
      <c r="L56" s="30" t="s">
        <v>6</v>
      </c>
      <c r="M56" s="33" t="s">
        <v>18</v>
      </c>
      <c r="N56" s="36" t="s">
        <v>18</v>
      </c>
      <c r="O56" s="36" t="s">
        <v>6</v>
      </c>
      <c r="P56" s="29" t="s">
        <v>64</v>
      </c>
      <c r="Q56" s="29" t="s">
        <v>64</v>
      </c>
      <c r="R56" s="33" t="s">
        <v>5</v>
      </c>
      <c r="S56" s="30" t="s">
        <v>5</v>
      </c>
      <c r="T56" s="30" t="s">
        <v>6</v>
      </c>
      <c r="U56" s="33" t="s">
        <v>6</v>
      </c>
      <c r="V56" s="36" t="s">
        <v>64</v>
      </c>
      <c r="W56" s="29" t="s">
        <v>64</v>
      </c>
      <c r="X56" s="30" t="s">
        <v>5</v>
      </c>
      <c r="Y56" s="33" t="s">
        <v>5</v>
      </c>
      <c r="Z56" s="36" t="s">
        <v>18</v>
      </c>
      <c r="AA56" s="36" t="s">
        <v>6</v>
      </c>
      <c r="AB56" s="29" t="s">
        <v>6</v>
      </c>
      <c r="AC56" s="29" t="s">
        <v>6</v>
      </c>
      <c r="AD56" s="30" t="s">
        <v>18</v>
      </c>
      <c r="AE56" s="30" t="s">
        <v>64</v>
      </c>
      <c r="AF56" s="30" t="s">
        <v>5</v>
      </c>
      <c r="AG56" s="30"/>
      <c r="AH56" s="32" t="s">
        <v>71</v>
      </c>
    </row>
    <row r="57" customHeight="1" spans="1:34">
      <c r="A57" s="34" t="s">
        <v>76</v>
      </c>
      <c r="B57" s="23" t="s">
        <v>12</v>
      </c>
      <c r="C57" s="29" t="s">
        <v>5</v>
      </c>
      <c r="D57" s="33" t="s">
        <v>6</v>
      </c>
      <c r="E57" s="33" t="s">
        <v>6</v>
      </c>
      <c r="F57" s="30" t="s">
        <v>18</v>
      </c>
      <c r="G57" s="30" t="s">
        <v>64</v>
      </c>
      <c r="H57" s="33" t="s">
        <v>64</v>
      </c>
      <c r="I57" s="36" t="s">
        <v>5</v>
      </c>
      <c r="J57" s="29" t="s">
        <v>5</v>
      </c>
      <c r="K57" s="29" t="s">
        <v>18</v>
      </c>
      <c r="L57" s="30" t="s">
        <v>18</v>
      </c>
      <c r="M57" s="30" t="s">
        <v>6</v>
      </c>
      <c r="N57" s="33" t="s">
        <v>6</v>
      </c>
      <c r="O57" s="33" t="s">
        <v>64</v>
      </c>
      <c r="P57" s="36" t="s">
        <v>5</v>
      </c>
      <c r="Q57" s="36" t="s">
        <v>18</v>
      </c>
      <c r="R57" s="29" t="s">
        <v>18</v>
      </c>
      <c r="S57" s="29" t="s">
        <v>6</v>
      </c>
      <c r="T57" s="33" t="s">
        <v>6</v>
      </c>
      <c r="U57" s="30" t="s">
        <v>18</v>
      </c>
      <c r="V57" s="30" t="s">
        <v>64</v>
      </c>
      <c r="W57" s="33" t="s">
        <v>5</v>
      </c>
      <c r="X57" s="36" t="s">
        <v>5</v>
      </c>
      <c r="Y57" s="36" t="s">
        <v>18</v>
      </c>
      <c r="Z57" s="29" t="s">
        <v>18</v>
      </c>
      <c r="AA57" s="29" t="s">
        <v>6</v>
      </c>
      <c r="AB57" s="30" t="s">
        <v>18</v>
      </c>
      <c r="AC57" s="33" t="s">
        <v>64</v>
      </c>
      <c r="AD57" s="36" t="s">
        <v>5</v>
      </c>
      <c r="AE57" s="36" t="s">
        <v>18</v>
      </c>
      <c r="AF57" s="36" t="s">
        <v>6</v>
      </c>
      <c r="AG57" s="36"/>
      <c r="AH57" s="32" t="s">
        <v>71</v>
      </c>
    </row>
    <row r="58" customHeight="1" spans="1:34">
      <c r="A58" s="34" t="s">
        <v>77</v>
      </c>
      <c r="B58" s="23" t="s">
        <v>12</v>
      </c>
      <c r="C58" s="30" t="s">
        <v>18</v>
      </c>
      <c r="D58" s="36" t="s">
        <v>6</v>
      </c>
      <c r="E58" s="36" t="s">
        <v>64</v>
      </c>
      <c r="F58" s="29" t="s">
        <v>64</v>
      </c>
      <c r="G58" s="29" t="s">
        <v>5</v>
      </c>
      <c r="H58" s="33" t="s">
        <v>5</v>
      </c>
      <c r="I58" s="30" t="s">
        <v>18</v>
      </c>
      <c r="J58" s="33" t="s">
        <v>6</v>
      </c>
      <c r="K58" s="33" t="s">
        <v>6</v>
      </c>
      <c r="L58" s="36" t="s">
        <v>18</v>
      </c>
      <c r="M58" s="36" t="s">
        <v>64</v>
      </c>
      <c r="N58" s="29" t="s">
        <v>5</v>
      </c>
      <c r="O58" s="29" t="s">
        <v>6</v>
      </c>
      <c r="P58" s="33" t="s">
        <v>18</v>
      </c>
      <c r="Q58" s="33" t="s">
        <v>18</v>
      </c>
      <c r="R58" s="30" t="s">
        <v>64</v>
      </c>
      <c r="S58" s="30" t="s">
        <v>64</v>
      </c>
      <c r="T58" s="36" t="s">
        <v>5</v>
      </c>
      <c r="U58" s="29" t="s">
        <v>5</v>
      </c>
      <c r="V58" s="33" t="s">
        <v>18</v>
      </c>
      <c r="W58" s="33" t="s">
        <v>18</v>
      </c>
      <c r="X58" s="30" t="s">
        <v>6</v>
      </c>
      <c r="Y58" s="30" t="s">
        <v>64</v>
      </c>
      <c r="Z58" s="36" t="s">
        <v>64</v>
      </c>
      <c r="AA58" s="29" t="s">
        <v>5</v>
      </c>
      <c r="AB58" s="30" t="s">
        <v>5</v>
      </c>
      <c r="AC58" s="33" t="s">
        <v>6</v>
      </c>
      <c r="AD58" s="33" t="s">
        <v>18</v>
      </c>
      <c r="AE58" s="33" t="s">
        <v>18</v>
      </c>
      <c r="AF58" s="33" t="s">
        <v>18</v>
      </c>
      <c r="AG58" s="33"/>
      <c r="AH58" s="32" t="s">
        <v>71</v>
      </c>
    </row>
    <row r="59" customHeight="1" spans="1:34">
      <c r="A59" s="34" t="s">
        <v>78</v>
      </c>
      <c r="B59" s="23" t="s">
        <v>12</v>
      </c>
      <c r="C59" s="30" t="s">
        <v>5</v>
      </c>
      <c r="D59" s="30" t="s">
        <v>5</v>
      </c>
      <c r="E59" s="33" t="s">
        <v>18</v>
      </c>
      <c r="F59" s="33" t="s">
        <v>6</v>
      </c>
      <c r="G59" s="36" t="s">
        <v>6</v>
      </c>
      <c r="H59" s="36" t="s">
        <v>18</v>
      </c>
      <c r="I59" s="29" t="s">
        <v>64</v>
      </c>
      <c r="J59" s="29" t="s">
        <v>64</v>
      </c>
      <c r="K59" s="30" t="s">
        <v>5</v>
      </c>
      <c r="L59" s="33" t="s">
        <v>5</v>
      </c>
      <c r="M59" s="33" t="s">
        <v>6</v>
      </c>
      <c r="N59" s="36" t="s">
        <v>6</v>
      </c>
      <c r="O59" s="36" t="s">
        <v>18</v>
      </c>
      <c r="P59" s="29" t="s">
        <v>18</v>
      </c>
      <c r="Q59" s="29" t="s">
        <v>64</v>
      </c>
      <c r="R59" s="30" t="s">
        <v>5</v>
      </c>
      <c r="S59" s="33" t="s">
        <v>6</v>
      </c>
      <c r="T59" s="33" t="s">
        <v>18</v>
      </c>
      <c r="U59" s="36" t="s">
        <v>18</v>
      </c>
      <c r="V59" s="36" t="s">
        <v>18</v>
      </c>
      <c r="W59" s="29" t="s">
        <v>64</v>
      </c>
      <c r="X59" s="29" t="s">
        <v>64</v>
      </c>
      <c r="Y59" s="30" t="s">
        <v>5</v>
      </c>
      <c r="Z59" s="30" t="s">
        <v>5</v>
      </c>
      <c r="AA59" s="33" t="s">
        <v>18</v>
      </c>
      <c r="AB59" s="33" t="s">
        <v>18</v>
      </c>
      <c r="AC59" s="36" t="s">
        <v>18</v>
      </c>
      <c r="AD59" s="29" t="s">
        <v>6</v>
      </c>
      <c r="AE59" s="29" t="s">
        <v>64</v>
      </c>
      <c r="AF59" s="29" t="s">
        <v>64</v>
      </c>
      <c r="AG59" s="29"/>
      <c r="AH59" s="32" t="s">
        <v>71</v>
      </c>
    </row>
    <row r="60" customHeight="1" spans="1:34">
      <c r="A60" s="34" t="s">
        <v>79</v>
      </c>
      <c r="B60" s="23" t="s">
        <v>12</v>
      </c>
      <c r="C60" s="36" t="s">
        <v>64</v>
      </c>
      <c r="D60" s="29" t="s">
        <v>64</v>
      </c>
      <c r="E60" s="29" t="s">
        <v>5</v>
      </c>
      <c r="F60" s="33" t="s">
        <v>5</v>
      </c>
      <c r="G60" s="33" t="s">
        <v>18</v>
      </c>
      <c r="H60" s="30" t="s">
        <v>18</v>
      </c>
      <c r="I60" s="30" t="s">
        <v>6</v>
      </c>
      <c r="J60" s="36" t="s">
        <v>64</v>
      </c>
      <c r="K60" s="36" t="s">
        <v>64</v>
      </c>
      <c r="L60" s="29" t="s">
        <v>5</v>
      </c>
      <c r="M60" s="29" t="s">
        <v>5</v>
      </c>
      <c r="N60" s="30" t="s">
        <v>18</v>
      </c>
      <c r="O60" s="30" t="s">
        <v>64</v>
      </c>
      <c r="P60" s="33" t="s">
        <v>64</v>
      </c>
      <c r="Q60" s="33" t="s">
        <v>5</v>
      </c>
      <c r="R60" s="36" t="s">
        <v>80</v>
      </c>
      <c r="S60" s="36" t="s">
        <v>80</v>
      </c>
      <c r="T60" s="29" t="s">
        <v>80</v>
      </c>
      <c r="U60" s="29" t="s">
        <v>80</v>
      </c>
      <c r="V60" s="30" t="s">
        <v>80</v>
      </c>
      <c r="W60" s="30" t="s">
        <v>80</v>
      </c>
      <c r="X60" s="33" t="s">
        <v>80</v>
      </c>
      <c r="Y60" s="36" t="s">
        <v>6</v>
      </c>
      <c r="Z60" s="29" t="s">
        <v>18</v>
      </c>
      <c r="AA60" s="33" t="s">
        <v>18</v>
      </c>
      <c r="AB60" s="33" t="s">
        <v>6</v>
      </c>
      <c r="AC60" s="30" t="s">
        <v>64</v>
      </c>
      <c r="AD60" s="36" t="s">
        <v>64</v>
      </c>
      <c r="AE60" s="36" t="s">
        <v>5</v>
      </c>
      <c r="AF60" s="36" t="s">
        <v>5</v>
      </c>
      <c r="AG60" s="36"/>
      <c r="AH60" s="32" t="s">
        <v>71</v>
      </c>
    </row>
    <row r="61" customHeight="1" spans="1:34">
      <c r="A61" s="34" t="s">
        <v>81</v>
      </c>
      <c r="B61" s="23" t="s">
        <v>12</v>
      </c>
      <c r="C61" s="29" t="s">
        <v>6</v>
      </c>
      <c r="D61" s="33" t="s">
        <v>18</v>
      </c>
      <c r="E61" s="30" t="s">
        <v>18</v>
      </c>
      <c r="F61" s="30" t="s">
        <v>18</v>
      </c>
      <c r="G61" s="33" t="s">
        <v>5</v>
      </c>
      <c r="H61" s="36" t="s">
        <v>6</v>
      </c>
      <c r="I61" s="36" t="s">
        <v>6</v>
      </c>
      <c r="J61" s="29" t="s">
        <v>18</v>
      </c>
      <c r="K61" s="29" t="s">
        <v>18</v>
      </c>
      <c r="L61" s="33" t="s">
        <v>64</v>
      </c>
      <c r="M61" s="30" t="s">
        <v>64</v>
      </c>
      <c r="N61" s="30" t="s">
        <v>5</v>
      </c>
      <c r="O61" s="33" t="s">
        <v>5</v>
      </c>
      <c r="P61" s="36" t="s">
        <v>6</v>
      </c>
      <c r="Q61" s="36" t="s">
        <v>6</v>
      </c>
      <c r="R61" s="29" t="s">
        <v>18</v>
      </c>
      <c r="S61" s="29" t="s">
        <v>64</v>
      </c>
      <c r="T61" s="30" t="s">
        <v>64</v>
      </c>
      <c r="U61" s="30" t="s">
        <v>5</v>
      </c>
      <c r="V61" s="33" t="s">
        <v>5</v>
      </c>
      <c r="W61" s="36" t="s">
        <v>6</v>
      </c>
      <c r="X61" s="36" t="s">
        <v>18</v>
      </c>
      <c r="Y61" s="29" t="s">
        <v>18</v>
      </c>
      <c r="Z61" s="29" t="s">
        <v>64</v>
      </c>
      <c r="AA61" s="30" t="s">
        <v>64</v>
      </c>
      <c r="AB61" s="33" t="s">
        <v>5</v>
      </c>
      <c r="AC61" s="33" t="s">
        <v>5</v>
      </c>
      <c r="AD61" s="30" t="s">
        <v>18</v>
      </c>
      <c r="AE61" s="30" t="s">
        <v>18</v>
      </c>
      <c r="AF61" s="30" t="s">
        <v>6</v>
      </c>
      <c r="AG61" s="30"/>
      <c r="AH61" s="32" t="s">
        <v>71</v>
      </c>
    </row>
    <row r="62" customHeight="1" spans="1:34">
      <c r="A62" s="34" t="s">
        <v>82</v>
      </c>
      <c r="B62" s="23" t="s">
        <v>12</v>
      </c>
      <c r="C62" s="30" t="s">
        <v>6</v>
      </c>
      <c r="D62" s="30" t="s">
        <v>5</v>
      </c>
      <c r="E62" s="29" t="s">
        <v>18</v>
      </c>
      <c r="F62" s="30" t="s">
        <v>18</v>
      </c>
      <c r="G62" s="30" t="s">
        <v>6</v>
      </c>
      <c r="H62" s="30" t="s">
        <v>6</v>
      </c>
      <c r="I62" s="29" t="s">
        <v>5</v>
      </c>
      <c r="J62" s="29" t="s">
        <v>18</v>
      </c>
      <c r="K62" s="30" t="s">
        <v>18</v>
      </c>
      <c r="L62" s="31" t="s">
        <v>9</v>
      </c>
      <c r="M62" s="33" t="s">
        <v>6</v>
      </c>
      <c r="N62" s="30" t="s">
        <v>6</v>
      </c>
      <c r="O62" s="30" t="s">
        <v>6</v>
      </c>
      <c r="P62" s="30" t="s">
        <v>5</v>
      </c>
      <c r="Q62" s="29" t="s">
        <v>6</v>
      </c>
      <c r="R62" s="30" t="s">
        <v>18</v>
      </c>
      <c r="S62" s="33" t="s">
        <v>9</v>
      </c>
      <c r="T62" s="31" t="s">
        <v>9</v>
      </c>
      <c r="U62" s="30" t="s">
        <v>5</v>
      </c>
      <c r="V62" s="30" t="s">
        <v>6</v>
      </c>
      <c r="W62" s="29" t="s">
        <v>6</v>
      </c>
      <c r="X62" s="29" t="s">
        <v>9</v>
      </c>
      <c r="Y62" s="33" t="s">
        <v>5</v>
      </c>
      <c r="Z62" s="30" t="s">
        <v>5</v>
      </c>
      <c r="AA62" s="33" t="s">
        <v>6</v>
      </c>
      <c r="AB62" s="31" t="s">
        <v>9</v>
      </c>
      <c r="AC62" s="30" t="s">
        <v>6</v>
      </c>
      <c r="AD62" s="29" t="s">
        <v>6</v>
      </c>
      <c r="AE62" s="29" t="s">
        <v>18</v>
      </c>
      <c r="AF62" s="29" t="s">
        <v>5</v>
      </c>
      <c r="AG62" s="29"/>
      <c r="AH62" s="32" t="s">
        <v>83</v>
      </c>
    </row>
    <row r="63" customHeight="1" spans="1:34">
      <c r="A63" s="34" t="s">
        <v>84</v>
      </c>
      <c r="B63" s="23" t="s">
        <v>4</v>
      </c>
      <c r="C63" s="33" t="s">
        <v>6</v>
      </c>
      <c r="D63" s="31" t="s">
        <v>6</v>
      </c>
      <c r="E63" s="30" t="s">
        <v>6</v>
      </c>
      <c r="F63" s="33" t="s">
        <v>6</v>
      </c>
      <c r="G63" s="29" t="s">
        <v>6</v>
      </c>
      <c r="H63" s="29" t="s">
        <v>5</v>
      </c>
      <c r="I63" s="33" t="s">
        <v>5</v>
      </c>
      <c r="J63" s="33" t="s">
        <v>6</v>
      </c>
      <c r="K63" s="31" t="s">
        <v>6</v>
      </c>
      <c r="L63" s="33" t="s">
        <v>6</v>
      </c>
      <c r="M63" s="29" t="s">
        <v>6</v>
      </c>
      <c r="N63" s="33" t="s">
        <v>6</v>
      </c>
      <c r="O63" s="31" t="s">
        <v>5</v>
      </c>
      <c r="P63" s="31" t="s">
        <v>5</v>
      </c>
      <c r="Q63" s="30" t="s">
        <v>6</v>
      </c>
      <c r="R63" s="29" t="s">
        <v>6</v>
      </c>
      <c r="S63" s="29" t="s">
        <v>6</v>
      </c>
      <c r="T63" s="33" t="s">
        <v>6</v>
      </c>
      <c r="U63" s="33" t="s">
        <v>6</v>
      </c>
      <c r="V63" s="31" t="s">
        <v>5</v>
      </c>
      <c r="W63" s="33" t="s">
        <v>5</v>
      </c>
      <c r="X63" s="30" t="s">
        <v>6</v>
      </c>
      <c r="Y63" s="30" t="s">
        <v>6</v>
      </c>
      <c r="Z63" s="29" t="s">
        <v>6</v>
      </c>
      <c r="AA63" s="29" t="s">
        <v>6</v>
      </c>
      <c r="AB63" s="33" t="s">
        <v>6</v>
      </c>
      <c r="AC63" s="31" t="s">
        <v>6</v>
      </c>
      <c r="AD63" s="31" t="s">
        <v>5</v>
      </c>
      <c r="AE63" s="31" t="s">
        <v>6</v>
      </c>
      <c r="AF63" s="31" t="s">
        <v>6</v>
      </c>
      <c r="AG63" s="31"/>
      <c r="AH63" s="32" t="s">
        <v>83</v>
      </c>
    </row>
    <row r="64" customHeight="1" spans="1:34">
      <c r="A64" s="34" t="s">
        <v>85</v>
      </c>
      <c r="B64" s="23" t="s">
        <v>62</v>
      </c>
      <c r="C64" s="30" t="s">
        <v>18</v>
      </c>
      <c r="D64" s="33" t="s">
        <v>6</v>
      </c>
      <c r="E64" s="29" t="s">
        <v>5</v>
      </c>
      <c r="F64" s="29" t="s">
        <v>18</v>
      </c>
      <c r="G64" s="33" t="s">
        <v>6</v>
      </c>
      <c r="H64" s="31" t="s">
        <v>6</v>
      </c>
      <c r="I64" s="33" t="s">
        <v>5</v>
      </c>
      <c r="J64" s="31" t="s">
        <v>6</v>
      </c>
      <c r="K64" s="33" t="s">
        <v>6</v>
      </c>
      <c r="L64" s="33" t="s">
        <v>6</v>
      </c>
      <c r="M64" s="29" t="s">
        <v>6</v>
      </c>
      <c r="N64" s="29" t="s">
        <v>18</v>
      </c>
      <c r="O64" s="33" t="s">
        <v>18</v>
      </c>
      <c r="P64" s="31" t="s">
        <v>5</v>
      </c>
      <c r="Q64" s="33" t="s">
        <v>5</v>
      </c>
      <c r="R64" s="33" t="s">
        <v>18</v>
      </c>
      <c r="S64" s="30" t="s">
        <v>6</v>
      </c>
      <c r="T64" s="30" t="s">
        <v>18</v>
      </c>
      <c r="U64" s="29" t="s">
        <v>18</v>
      </c>
      <c r="V64" s="29" t="s">
        <v>6</v>
      </c>
      <c r="W64" s="33" t="s">
        <v>18</v>
      </c>
      <c r="X64" s="33" t="s">
        <v>5</v>
      </c>
      <c r="Y64" s="31" t="s">
        <v>5</v>
      </c>
      <c r="Z64" s="33" t="s">
        <v>18</v>
      </c>
      <c r="AA64" s="31" t="s">
        <v>6</v>
      </c>
      <c r="AB64" s="30" t="s">
        <v>6</v>
      </c>
      <c r="AC64" s="29" t="s">
        <v>18</v>
      </c>
      <c r="AD64" s="30" t="s">
        <v>18</v>
      </c>
      <c r="AE64" s="30" t="s">
        <v>6</v>
      </c>
      <c r="AF64" s="30" t="s">
        <v>5</v>
      </c>
      <c r="AG64" s="30"/>
      <c r="AH64" s="32" t="s">
        <v>83</v>
      </c>
    </row>
    <row r="65" customHeight="1" spans="1:34">
      <c r="A65" s="34" t="s">
        <v>86</v>
      </c>
      <c r="B65" s="23" t="s">
        <v>12</v>
      </c>
      <c r="C65" s="29" t="s">
        <v>18</v>
      </c>
      <c r="D65" s="30" t="s">
        <v>18</v>
      </c>
      <c r="E65" s="30" t="s">
        <v>6</v>
      </c>
      <c r="F65" s="30" t="s">
        <v>6</v>
      </c>
      <c r="G65" s="31" t="s">
        <v>6</v>
      </c>
      <c r="H65" s="29" t="s">
        <v>5</v>
      </c>
      <c r="I65" s="29" t="s">
        <v>5</v>
      </c>
      <c r="J65" s="31" t="s">
        <v>6</v>
      </c>
      <c r="K65" s="31" t="s">
        <v>6</v>
      </c>
      <c r="L65" s="30" t="s">
        <v>18</v>
      </c>
      <c r="M65" s="30" t="s">
        <v>9</v>
      </c>
      <c r="N65" s="30" t="s">
        <v>18</v>
      </c>
      <c r="O65" s="29" t="s">
        <v>6</v>
      </c>
      <c r="P65" s="33" t="s">
        <v>5</v>
      </c>
      <c r="Q65" s="33" t="s">
        <v>5</v>
      </c>
      <c r="R65" s="31" t="s">
        <v>6</v>
      </c>
      <c r="S65" s="30" t="s">
        <v>18</v>
      </c>
      <c r="T65" s="33" t="s">
        <v>6</v>
      </c>
      <c r="U65" s="33" t="s">
        <v>6</v>
      </c>
      <c r="V65" s="29" t="s">
        <v>6</v>
      </c>
      <c r="W65" s="29" t="s">
        <v>6</v>
      </c>
      <c r="X65" s="33" t="s">
        <v>5</v>
      </c>
      <c r="Y65" s="33" t="s">
        <v>5</v>
      </c>
      <c r="Z65" s="31" t="s">
        <v>6</v>
      </c>
      <c r="AA65" s="33" t="s">
        <v>18</v>
      </c>
      <c r="AB65" s="29" t="s">
        <v>6</v>
      </c>
      <c r="AC65" s="33" t="s">
        <v>6</v>
      </c>
      <c r="AD65" s="33" t="s">
        <v>18</v>
      </c>
      <c r="AE65" s="33" t="s">
        <v>6</v>
      </c>
      <c r="AF65" s="33" t="s">
        <v>5</v>
      </c>
      <c r="AG65" s="33"/>
      <c r="AH65" s="32" t="s">
        <v>83</v>
      </c>
    </row>
    <row r="66" customHeight="1" spans="1:34">
      <c r="A66" s="34" t="s">
        <v>87</v>
      </c>
      <c r="B66" s="23" t="s">
        <v>62</v>
      </c>
      <c r="C66" s="29" t="s">
        <v>6</v>
      </c>
      <c r="D66" s="29" t="s">
        <v>6</v>
      </c>
      <c r="E66" s="33" t="s">
        <v>5</v>
      </c>
      <c r="F66" s="33" t="s">
        <v>6</v>
      </c>
      <c r="G66" s="31" t="s">
        <v>18</v>
      </c>
      <c r="H66" s="33" t="s">
        <v>18</v>
      </c>
      <c r="I66" s="30" t="s">
        <v>6</v>
      </c>
      <c r="J66" s="30" t="s">
        <v>5</v>
      </c>
      <c r="K66" s="29" t="s">
        <v>5</v>
      </c>
      <c r="L66" s="29" t="s">
        <v>6</v>
      </c>
      <c r="M66" s="33" t="s">
        <v>18</v>
      </c>
      <c r="N66" s="33" t="s">
        <v>6</v>
      </c>
      <c r="O66" s="31" t="s">
        <v>6</v>
      </c>
      <c r="P66" s="31" t="s">
        <v>6</v>
      </c>
      <c r="Q66" s="30" t="s">
        <v>6</v>
      </c>
      <c r="R66" s="33" t="s">
        <v>5</v>
      </c>
      <c r="S66" s="29" t="s">
        <v>6</v>
      </c>
      <c r="T66" s="29" t="s">
        <v>18</v>
      </c>
      <c r="U66" s="30" t="s">
        <v>18</v>
      </c>
      <c r="V66" s="33" t="s">
        <v>18</v>
      </c>
      <c r="W66" s="31" t="s">
        <v>6</v>
      </c>
      <c r="X66" s="31" t="s">
        <v>5</v>
      </c>
      <c r="Y66" s="30" t="s">
        <v>6</v>
      </c>
      <c r="Z66" s="33" t="s">
        <v>6</v>
      </c>
      <c r="AA66" s="29" t="s">
        <v>6</v>
      </c>
      <c r="AB66" s="33" t="s">
        <v>6</v>
      </c>
      <c r="AC66" s="31" t="s">
        <v>5</v>
      </c>
      <c r="AD66" s="31" t="s">
        <v>5</v>
      </c>
      <c r="AE66" s="31" t="s">
        <v>18</v>
      </c>
      <c r="AF66" s="31" t="s">
        <v>6</v>
      </c>
      <c r="AG66" s="31"/>
      <c r="AH66" s="32" t="s">
        <v>83</v>
      </c>
    </row>
    <row r="67" customHeight="1" spans="1:34">
      <c r="A67" s="27" t="s">
        <v>88</v>
      </c>
      <c r="B67" s="28" t="s">
        <v>12</v>
      </c>
      <c r="C67" s="29" t="s">
        <v>6</v>
      </c>
      <c r="D67" s="30" t="s">
        <v>18</v>
      </c>
      <c r="E67" s="30" t="s">
        <v>5</v>
      </c>
      <c r="F67" s="30" t="s">
        <v>5</v>
      </c>
      <c r="G67" s="30" t="s">
        <v>18</v>
      </c>
      <c r="H67" s="30" t="s">
        <v>6</v>
      </c>
      <c r="I67" s="29" t="s">
        <v>6</v>
      </c>
      <c r="J67" s="29" t="s">
        <v>18</v>
      </c>
      <c r="K67" s="30" t="s">
        <v>18</v>
      </c>
      <c r="L67" s="30" t="s">
        <v>6</v>
      </c>
      <c r="M67" s="30" t="s">
        <v>5</v>
      </c>
      <c r="N67" s="30" t="s">
        <v>5</v>
      </c>
      <c r="O67" s="30" t="s">
        <v>18</v>
      </c>
      <c r="P67" s="29" t="s">
        <v>6</v>
      </c>
      <c r="Q67" s="29" t="s">
        <v>6</v>
      </c>
      <c r="R67" s="30" t="s">
        <v>18</v>
      </c>
      <c r="S67" s="29" t="s">
        <v>6</v>
      </c>
      <c r="T67" s="30" t="s">
        <v>6</v>
      </c>
      <c r="U67" s="30" t="s">
        <v>5</v>
      </c>
      <c r="V67" s="30" t="s">
        <v>5</v>
      </c>
      <c r="W67" s="29" t="s">
        <v>18</v>
      </c>
      <c r="X67" s="29" t="s">
        <v>6</v>
      </c>
      <c r="Y67" s="30" t="s">
        <v>18</v>
      </c>
      <c r="Z67" s="30" t="s">
        <v>6</v>
      </c>
      <c r="AA67" s="30" t="s">
        <v>18</v>
      </c>
      <c r="AB67" s="30" t="s">
        <v>5</v>
      </c>
      <c r="AC67" s="30" t="s">
        <v>6</v>
      </c>
      <c r="AD67" s="29" t="s">
        <v>6</v>
      </c>
      <c r="AE67" s="29" t="s">
        <v>6</v>
      </c>
      <c r="AF67" s="29" t="s">
        <v>6</v>
      </c>
      <c r="AG67" s="29"/>
      <c r="AH67" s="32" t="s">
        <v>83</v>
      </c>
    </row>
    <row r="68" customHeight="1" spans="1:34">
      <c r="A68" s="27" t="s">
        <v>89</v>
      </c>
      <c r="B68" s="23" t="s">
        <v>4</v>
      </c>
      <c r="C68" s="29" t="s">
        <v>5</v>
      </c>
      <c r="D68" s="33" t="s">
        <v>6</v>
      </c>
      <c r="E68" s="31" t="s">
        <v>6</v>
      </c>
      <c r="F68" s="30" t="s">
        <v>6</v>
      </c>
      <c r="G68" s="30" t="s">
        <v>6</v>
      </c>
      <c r="H68" s="30" t="s">
        <v>5</v>
      </c>
      <c r="I68" s="29" t="s">
        <v>5</v>
      </c>
      <c r="J68" s="29" t="s">
        <v>6</v>
      </c>
      <c r="K68" s="30" t="s">
        <v>6</v>
      </c>
      <c r="L68" s="30" t="s">
        <v>6</v>
      </c>
      <c r="M68" s="33" t="s">
        <v>6</v>
      </c>
      <c r="N68" s="30" t="s">
        <v>6</v>
      </c>
      <c r="O68" s="30" t="s">
        <v>5</v>
      </c>
      <c r="P68" s="30" t="s">
        <v>5</v>
      </c>
      <c r="Q68" s="29" t="s">
        <v>6</v>
      </c>
      <c r="R68" s="30" t="s">
        <v>6</v>
      </c>
      <c r="S68" s="33" t="s">
        <v>6</v>
      </c>
      <c r="T68" s="33" t="s">
        <v>6</v>
      </c>
      <c r="U68" s="31" t="s">
        <v>6</v>
      </c>
      <c r="V68" s="30" t="s">
        <v>5</v>
      </c>
      <c r="W68" s="33" t="s">
        <v>5</v>
      </c>
      <c r="X68" s="29" t="s">
        <v>6</v>
      </c>
      <c r="Y68" s="33" t="s">
        <v>6</v>
      </c>
      <c r="Z68" s="31" t="s">
        <v>6</v>
      </c>
      <c r="AA68" s="30" t="s">
        <v>6</v>
      </c>
      <c r="AB68" s="30" t="s">
        <v>6</v>
      </c>
      <c r="AC68" s="31" t="s">
        <v>5</v>
      </c>
      <c r="AD68" s="29" t="s">
        <v>5</v>
      </c>
      <c r="AE68" s="29" t="s">
        <v>6</v>
      </c>
      <c r="AF68" s="29" t="s">
        <v>6</v>
      </c>
      <c r="AG68" s="29"/>
      <c r="AH68" s="32" t="s">
        <v>83</v>
      </c>
    </row>
    <row r="69" customHeight="1" spans="1:34">
      <c r="A69" s="35" t="s">
        <v>90</v>
      </c>
      <c r="B69" s="28" t="s">
        <v>33</v>
      </c>
      <c r="C69" s="29" t="s">
        <v>9</v>
      </c>
      <c r="D69" s="29" t="s">
        <v>18</v>
      </c>
      <c r="E69" s="33" t="s">
        <v>5</v>
      </c>
      <c r="F69" s="31" t="s">
        <v>5</v>
      </c>
      <c r="G69" s="33" t="s">
        <v>9</v>
      </c>
      <c r="H69" s="31" t="s">
        <v>18</v>
      </c>
      <c r="I69" s="31" t="s">
        <v>6</v>
      </c>
      <c r="J69" s="30" t="s">
        <v>18</v>
      </c>
      <c r="K69" s="29" t="s">
        <v>18</v>
      </c>
      <c r="L69" s="29" t="s">
        <v>9</v>
      </c>
      <c r="M69" s="31" t="s">
        <v>5</v>
      </c>
      <c r="N69" s="33" t="s">
        <v>5</v>
      </c>
      <c r="O69" s="31" t="s">
        <v>9</v>
      </c>
      <c r="P69" s="31" t="s">
        <v>9</v>
      </c>
      <c r="Q69" s="31" t="s">
        <v>18</v>
      </c>
      <c r="R69" s="33" t="s">
        <v>18</v>
      </c>
      <c r="S69" s="29" t="s">
        <v>9</v>
      </c>
      <c r="T69" s="29" t="s">
        <v>18</v>
      </c>
      <c r="U69" s="33" t="s">
        <v>5</v>
      </c>
      <c r="V69" s="33" t="s">
        <v>5</v>
      </c>
      <c r="W69" s="31" t="s">
        <v>9</v>
      </c>
      <c r="X69" s="31" t="s">
        <v>18</v>
      </c>
      <c r="Y69" s="30" t="s">
        <v>9</v>
      </c>
      <c r="Z69" s="33" t="s">
        <v>6</v>
      </c>
      <c r="AA69" s="29" t="s">
        <v>18</v>
      </c>
      <c r="AB69" s="33" t="s">
        <v>9</v>
      </c>
      <c r="AC69" s="33" t="s">
        <v>5</v>
      </c>
      <c r="AD69" s="31" t="s">
        <v>9</v>
      </c>
      <c r="AE69" s="31" t="s">
        <v>18</v>
      </c>
      <c r="AF69" s="31" t="s">
        <v>6</v>
      </c>
      <c r="AG69" s="31"/>
      <c r="AH69" s="32" t="s">
        <v>83</v>
      </c>
    </row>
    <row r="70" customHeight="1" spans="1:34">
      <c r="A70" s="34" t="s">
        <v>91</v>
      </c>
      <c r="B70" s="23" t="s">
        <v>4</v>
      </c>
      <c r="C70" s="33" t="s">
        <v>5</v>
      </c>
      <c r="D70" s="31" t="s">
        <v>5</v>
      </c>
      <c r="E70" s="29" t="s">
        <v>18</v>
      </c>
      <c r="F70" s="29" t="s">
        <v>9</v>
      </c>
      <c r="G70" s="31" t="s">
        <v>18</v>
      </c>
      <c r="H70" s="33" t="s">
        <v>9</v>
      </c>
      <c r="I70" s="33" t="s">
        <v>9</v>
      </c>
      <c r="J70" s="31" t="s">
        <v>6</v>
      </c>
      <c r="K70" s="31" t="s">
        <v>5</v>
      </c>
      <c r="L70" s="33" t="s">
        <v>5</v>
      </c>
      <c r="M70" s="29" t="s">
        <v>9</v>
      </c>
      <c r="N70" s="29" t="s">
        <v>9</v>
      </c>
      <c r="O70" s="33" t="s">
        <v>18</v>
      </c>
      <c r="P70" s="33" t="s">
        <v>18</v>
      </c>
      <c r="Q70" s="30" t="s">
        <v>9</v>
      </c>
      <c r="R70" s="30" t="s">
        <v>6</v>
      </c>
      <c r="S70" s="33" t="s">
        <v>5</v>
      </c>
      <c r="T70" s="31" t="s">
        <v>5</v>
      </c>
      <c r="U70" s="29" t="s">
        <v>18</v>
      </c>
      <c r="V70" s="29" t="s">
        <v>9</v>
      </c>
      <c r="W70" s="33" t="s">
        <v>18</v>
      </c>
      <c r="X70" s="33" t="s">
        <v>9</v>
      </c>
      <c r="Y70" s="31" t="s">
        <v>6</v>
      </c>
      <c r="Z70" s="31" t="s">
        <v>18</v>
      </c>
      <c r="AA70" s="33" t="s">
        <v>5</v>
      </c>
      <c r="AB70" s="31" t="s">
        <v>18</v>
      </c>
      <c r="AC70" s="31" t="s">
        <v>9</v>
      </c>
      <c r="AD70" s="29" t="s">
        <v>18</v>
      </c>
      <c r="AE70" s="29" t="s">
        <v>9</v>
      </c>
      <c r="AF70" s="29" t="s">
        <v>9</v>
      </c>
      <c r="AG70" s="29"/>
      <c r="AH70" s="32" t="s">
        <v>83</v>
      </c>
    </row>
    <row r="71" customHeight="1" spans="1:34">
      <c r="A71" s="34" t="s">
        <v>92</v>
      </c>
      <c r="B71" s="23" t="s">
        <v>14</v>
      </c>
      <c r="C71" s="31" t="s">
        <v>18</v>
      </c>
      <c r="D71" s="33" t="s">
        <v>9</v>
      </c>
      <c r="E71" s="31" t="s">
        <v>9</v>
      </c>
      <c r="F71" s="33" t="s">
        <v>18</v>
      </c>
      <c r="G71" s="29" t="s">
        <v>5</v>
      </c>
      <c r="H71" s="29" t="s">
        <v>5</v>
      </c>
      <c r="I71" s="30" t="s">
        <v>18</v>
      </c>
      <c r="J71" s="33" t="s">
        <v>9</v>
      </c>
      <c r="K71" s="33" t="s">
        <v>9</v>
      </c>
      <c r="L71" s="31" t="s">
        <v>18</v>
      </c>
      <c r="M71" s="33" t="s">
        <v>18</v>
      </c>
      <c r="N71" s="31" t="s">
        <v>18</v>
      </c>
      <c r="O71" s="29" t="s">
        <v>5</v>
      </c>
      <c r="P71" s="29" t="s">
        <v>5</v>
      </c>
      <c r="Q71" s="33" t="s">
        <v>6</v>
      </c>
      <c r="R71" s="31" t="s">
        <v>9</v>
      </c>
      <c r="S71" s="31" t="s">
        <v>18</v>
      </c>
      <c r="T71" s="33" t="s">
        <v>9</v>
      </c>
      <c r="U71" s="31" t="s">
        <v>9</v>
      </c>
      <c r="V71" s="31" t="s">
        <v>18</v>
      </c>
      <c r="W71" s="29" t="s">
        <v>5</v>
      </c>
      <c r="X71" s="29" t="s">
        <v>5</v>
      </c>
      <c r="Y71" s="33" t="s">
        <v>18</v>
      </c>
      <c r="Z71" s="30" t="s">
        <v>9</v>
      </c>
      <c r="AA71" s="31" t="s">
        <v>9</v>
      </c>
      <c r="AB71" s="30" t="s">
        <v>6</v>
      </c>
      <c r="AC71" s="29" t="s">
        <v>18</v>
      </c>
      <c r="AD71" s="33" t="s">
        <v>6</v>
      </c>
      <c r="AE71" s="33" t="s">
        <v>5</v>
      </c>
      <c r="AF71" s="33" t="s">
        <v>18</v>
      </c>
      <c r="AG71" s="33"/>
      <c r="AH71" s="32" t="s">
        <v>83</v>
      </c>
    </row>
    <row r="72" customHeight="1" spans="1:34">
      <c r="A72" s="27" t="s">
        <v>93</v>
      </c>
      <c r="B72" s="28" t="s">
        <v>4</v>
      </c>
      <c r="C72" s="29" t="s">
        <v>6</v>
      </c>
      <c r="D72" s="31" t="s">
        <v>18</v>
      </c>
      <c r="E72" s="33" t="s">
        <v>5</v>
      </c>
      <c r="F72" s="30" t="s">
        <v>6</v>
      </c>
      <c r="G72" s="31" t="s">
        <v>9</v>
      </c>
      <c r="H72" s="30" t="s">
        <v>6</v>
      </c>
      <c r="I72" s="33" t="s">
        <v>18</v>
      </c>
      <c r="J72" s="29" t="s">
        <v>18</v>
      </c>
      <c r="K72" s="29" t="s">
        <v>6</v>
      </c>
      <c r="L72" s="33" t="s">
        <v>5</v>
      </c>
      <c r="M72" s="31" t="s">
        <v>5</v>
      </c>
      <c r="N72" s="30" t="s">
        <v>80</v>
      </c>
      <c r="O72" s="31" t="s">
        <v>80</v>
      </c>
      <c r="P72" s="30" t="s">
        <v>80</v>
      </c>
      <c r="Q72" s="30" t="s">
        <v>80</v>
      </c>
      <c r="R72" s="29" t="s">
        <v>80</v>
      </c>
      <c r="S72" s="29" t="s">
        <v>80</v>
      </c>
      <c r="T72" s="30" t="s">
        <v>80</v>
      </c>
      <c r="U72" s="33" t="s">
        <v>80</v>
      </c>
      <c r="V72" s="31" t="s">
        <v>80</v>
      </c>
      <c r="W72" s="33" t="s">
        <v>6</v>
      </c>
      <c r="X72" s="33" t="s">
        <v>18</v>
      </c>
      <c r="Y72" s="29" t="s">
        <v>9</v>
      </c>
      <c r="Z72" s="29" t="s">
        <v>9</v>
      </c>
      <c r="AA72" s="33" t="s">
        <v>6</v>
      </c>
      <c r="AB72" s="33" t="s">
        <v>6</v>
      </c>
      <c r="AC72" s="30" t="s">
        <v>5</v>
      </c>
      <c r="AD72" s="30" t="s">
        <v>5</v>
      </c>
      <c r="AE72" s="30" t="s">
        <v>6</v>
      </c>
      <c r="AF72" s="30" t="s">
        <v>18</v>
      </c>
      <c r="AG72" s="30"/>
      <c r="AH72" s="32" t="s">
        <v>83</v>
      </c>
    </row>
    <row r="73" customHeight="1" spans="1:34">
      <c r="A73" s="27" t="s">
        <v>94</v>
      </c>
      <c r="B73" s="28" t="s">
        <v>40</v>
      </c>
      <c r="C73" s="30" t="s">
        <v>18</v>
      </c>
      <c r="D73" s="30" t="s">
        <v>9</v>
      </c>
      <c r="E73" s="33" t="s">
        <v>9</v>
      </c>
      <c r="F73" s="29" t="s">
        <v>6</v>
      </c>
      <c r="G73" s="29" t="s">
        <v>6</v>
      </c>
      <c r="H73" s="31" t="s">
        <v>6</v>
      </c>
      <c r="I73" s="30" t="s">
        <v>5</v>
      </c>
      <c r="J73" s="29" t="s">
        <v>5</v>
      </c>
      <c r="K73" s="29" t="s">
        <v>6</v>
      </c>
      <c r="L73" s="29" t="s">
        <v>6</v>
      </c>
      <c r="M73" s="33" t="s">
        <v>6</v>
      </c>
      <c r="N73" s="29" t="s">
        <v>9</v>
      </c>
      <c r="O73" s="29" t="s">
        <v>6</v>
      </c>
      <c r="P73" s="30" t="s">
        <v>5</v>
      </c>
      <c r="Q73" s="29" t="s">
        <v>5</v>
      </c>
      <c r="R73" s="29" t="s">
        <v>18</v>
      </c>
      <c r="S73" s="29" t="s">
        <v>18</v>
      </c>
      <c r="T73" s="29" t="s">
        <v>18</v>
      </c>
      <c r="U73" s="29" t="s">
        <v>18</v>
      </c>
      <c r="V73" s="29" t="s">
        <v>6</v>
      </c>
      <c r="W73" s="30" t="s">
        <v>6</v>
      </c>
      <c r="X73" s="30" t="s">
        <v>5</v>
      </c>
      <c r="Y73" s="29" t="s">
        <v>18</v>
      </c>
      <c r="Z73" s="31" t="s">
        <v>18</v>
      </c>
      <c r="AA73" s="30" t="s">
        <v>6</v>
      </c>
      <c r="AB73" s="29" t="s">
        <v>6</v>
      </c>
      <c r="AC73" s="29" t="s">
        <v>6</v>
      </c>
      <c r="AD73" s="29" t="s">
        <v>6</v>
      </c>
      <c r="AE73" s="29" t="s">
        <v>5</v>
      </c>
      <c r="AF73" s="29" t="s">
        <v>5</v>
      </c>
      <c r="AG73" s="29"/>
      <c r="AH73" s="32" t="s">
        <v>83</v>
      </c>
    </row>
    <row r="74" customHeight="1" spans="1:34">
      <c r="A74" s="34" t="s">
        <v>95</v>
      </c>
      <c r="B74" s="23" t="s">
        <v>40</v>
      </c>
      <c r="C74" s="30" t="s">
        <v>5</v>
      </c>
      <c r="D74" s="29" t="s">
        <v>5</v>
      </c>
      <c r="E74" s="29" t="s">
        <v>5</v>
      </c>
      <c r="F74" s="29" t="s">
        <v>5</v>
      </c>
      <c r="G74" s="30" t="s">
        <v>5</v>
      </c>
      <c r="H74" s="33" t="s">
        <v>5</v>
      </c>
      <c r="I74" s="29" t="s">
        <v>5</v>
      </c>
      <c r="J74" s="29" t="s">
        <v>5</v>
      </c>
      <c r="K74" s="33" t="s">
        <v>9</v>
      </c>
      <c r="L74" s="31" t="s">
        <v>6</v>
      </c>
      <c r="M74" s="29" t="s">
        <v>6</v>
      </c>
      <c r="N74" s="29" t="s">
        <v>5</v>
      </c>
      <c r="O74" s="29" t="s">
        <v>5</v>
      </c>
      <c r="P74" s="29" t="s">
        <v>5</v>
      </c>
      <c r="Q74" s="29" t="s">
        <v>18</v>
      </c>
      <c r="R74" s="29" t="s">
        <v>18</v>
      </c>
      <c r="S74" s="31" t="s">
        <v>6</v>
      </c>
      <c r="T74" s="33" t="s">
        <v>18</v>
      </c>
      <c r="U74" s="29" t="s">
        <v>9</v>
      </c>
      <c r="V74" s="29" t="s">
        <v>18</v>
      </c>
      <c r="W74" s="29" t="s">
        <v>18</v>
      </c>
      <c r="X74" s="29" t="s">
        <v>5</v>
      </c>
      <c r="Y74" s="30" t="s">
        <v>5</v>
      </c>
      <c r="Z74" s="31" t="s">
        <v>5</v>
      </c>
      <c r="AA74" s="30" t="s">
        <v>5</v>
      </c>
      <c r="AB74" s="29" t="s">
        <v>6</v>
      </c>
      <c r="AC74" s="29" t="s">
        <v>6</v>
      </c>
      <c r="AD74" s="31" t="s">
        <v>5</v>
      </c>
      <c r="AE74" s="31" t="s">
        <v>5</v>
      </c>
      <c r="AF74" s="31" t="s">
        <v>5</v>
      </c>
      <c r="AG74" s="31"/>
      <c r="AH74" s="32" t="s">
        <v>83</v>
      </c>
    </row>
    <row r="75" customHeight="1" spans="1:34">
      <c r="A75" s="34" t="s">
        <v>96</v>
      </c>
      <c r="B75" s="23" t="s">
        <v>4</v>
      </c>
      <c r="C75" s="30" t="s">
        <v>9</v>
      </c>
      <c r="D75" s="29" t="s">
        <v>6</v>
      </c>
      <c r="E75" s="29" t="s">
        <v>6</v>
      </c>
      <c r="F75" s="33" t="s">
        <v>5</v>
      </c>
      <c r="G75" s="31" t="s">
        <v>5</v>
      </c>
      <c r="H75" s="33" t="s">
        <v>6</v>
      </c>
      <c r="I75" s="31" t="s">
        <v>6</v>
      </c>
      <c r="J75" s="33" t="s">
        <v>6</v>
      </c>
      <c r="K75" s="29" t="s">
        <v>18</v>
      </c>
      <c r="L75" s="29" t="s">
        <v>18</v>
      </c>
      <c r="M75" s="30" t="s">
        <v>9</v>
      </c>
      <c r="N75" s="30" t="s">
        <v>5</v>
      </c>
      <c r="O75" s="33" t="s">
        <v>5</v>
      </c>
      <c r="P75" s="33" t="s">
        <v>18</v>
      </c>
      <c r="Q75" s="31" t="s">
        <v>18</v>
      </c>
      <c r="R75" s="30" t="s">
        <v>9</v>
      </c>
      <c r="S75" s="29" t="s">
        <v>6</v>
      </c>
      <c r="T75" s="33" t="s">
        <v>6</v>
      </c>
      <c r="U75" s="33" t="s">
        <v>6</v>
      </c>
      <c r="V75" s="31" t="s">
        <v>5</v>
      </c>
      <c r="W75" s="30" t="s">
        <v>5</v>
      </c>
      <c r="X75" s="30" t="s">
        <v>6</v>
      </c>
      <c r="Y75" s="29" t="s">
        <v>9</v>
      </c>
      <c r="Z75" s="29" t="s">
        <v>18</v>
      </c>
      <c r="AA75" s="30" t="s">
        <v>18</v>
      </c>
      <c r="AB75" s="33" t="s">
        <v>6</v>
      </c>
      <c r="AC75" s="30" t="s">
        <v>5</v>
      </c>
      <c r="AD75" s="30" t="s">
        <v>6</v>
      </c>
      <c r="AE75" s="30" t="s">
        <v>6</v>
      </c>
      <c r="AF75" s="30" t="s">
        <v>18</v>
      </c>
      <c r="AG75" s="30"/>
      <c r="AH75" s="32" t="s">
        <v>83</v>
      </c>
    </row>
    <row r="76" customHeight="1" spans="1:34">
      <c r="A76" s="34" t="s">
        <v>97</v>
      </c>
      <c r="B76" s="23" t="s">
        <v>4</v>
      </c>
      <c r="C76" s="33" t="s">
        <v>9</v>
      </c>
      <c r="D76" s="29" t="s">
        <v>6</v>
      </c>
      <c r="E76" s="29" t="s">
        <v>6</v>
      </c>
      <c r="F76" s="31" t="s">
        <v>5</v>
      </c>
      <c r="G76" s="33" t="s">
        <v>5</v>
      </c>
      <c r="H76" s="33" t="s">
        <v>18</v>
      </c>
      <c r="I76" s="30" t="s">
        <v>18</v>
      </c>
      <c r="J76" s="30" t="s">
        <v>9</v>
      </c>
      <c r="K76" s="30" t="s">
        <v>9</v>
      </c>
      <c r="L76" s="29" t="s">
        <v>6</v>
      </c>
      <c r="M76" s="29" t="s">
        <v>6</v>
      </c>
      <c r="N76" s="30" t="s">
        <v>5</v>
      </c>
      <c r="O76" s="30" t="s">
        <v>5</v>
      </c>
      <c r="P76" s="31" t="s">
        <v>18</v>
      </c>
      <c r="Q76" s="33" t="s">
        <v>18</v>
      </c>
      <c r="R76" s="31" t="s">
        <v>9</v>
      </c>
      <c r="S76" s="30" t="s">
        <v>6</v>
      </c>
      <c r="T76" s="29" t="s">
        <v>6</v>
      </c>
      <c r="U76" s="30" t="s">
        <v>6</v>
      </c>
      <c r="V76" s="30" t="s">
        <v>5</v>
      </c>
      <c r="W76" s="33" t="s">
        <v>5</v>
      </c>
      <c r="X76" s="30" t="s">
        <v>6</v>
      </c>
      <c r="Y76" s="31" t="s">
        <v>18</v>
      </c>
      <c r="Z76" s="30" t="s">
        <v>6</v>
      </c>
      <c r="AA76" s="29" t="s">
        <v>6</v>
      </c>
      <c r="AB76" s="29" t="s">
        <v>18</v>
      </c>
      <c r="AC76" s="33" t="s">
        <v>5</v>
      </c>
      <c r="AD76" s="33" t="s">
        <v>18</v>
      </c>
      <c r="AE76" s="33" t="s">
        <v>18</v>
      </c>
      <c r="AF76" s="33" t="s">
        <v>9</v>
      </c>
      <c r="AG76" s="33"/>
      <c r="AH76" s="32" t="s">
        <v>83</v>
      </c>
    </row>
    <row r="77" customHeight="1" spans="1:34">
      <c r="A77" s="34" t="s">
        <v>98</v>
      </c>
      <c r="B77" s="23" t="s">
        <v>4</v>
      </c>
      <c r="C77" s="29" t="s">
        <v>6</v>
      </c>
      <c r="D77" s="30" t="s">
        <v>18</v>
      </c>
      <c r="E77" s="33" t="s">
        <v>5</v>
      </c>
      <c r="F77" s="31" t="s">
        <v>5</v>
      </c>
      <c r="G77" s="33" t="s">
        <v>6</v>
      </c>
      <c r="H77" s="30" t="s">
        <v>18</v>
      </c>
      <c r="I77" s="29" t="s">
        <v>6</v>
      </c>
      <c r="J77" s="30" t="s">
        <v>6</v>
      </c>
      <c r="K77" s="31" t="s">
        <v>6</v>
      </c>
      <c r="L77" s="30" t="s">
        <v>18</v>
      </c>
      <c r="M77" s="30" t="s">
        <v>5</v>
      </c>
      <c r="N77" s="33" t="s">
        <v>6</v>
      </c>
      <c r="O77" s="33" t="s">
        <v>18</v>
      </c>
      <c r="P77" s="29" t="s">
        <v>6</v>
      </c>
      <c r="Q77" s="33" t="s">
        <v>6</v>
      </c>
      <c r="R77" s="33" t="s">
        <v>5</v>
      </c>
      <c r="S77" s="30" t="s">
        <v>6</v>
      </c>
      <c r="T77" s="30" t="s">
        <v>6</v>
      </c>
      <c r="U77" s="31" t="s">
        <v>18</v>
      </c>
      <c r="V77" s="33" t="s">
        <v>5</v>
      </c>
      <c r="W77" s="29" t="s">
        <v>5</v>
      </c>
      <c r="X77" s="29" t="s">
        <v>6</v>
      </c>
      <c r="Y77" s="30" t="s">
        <v>6</v>
      </c>
      <c r="Z77" s="30" t="s">
        <v>18</v>
      </c>
      <c r="AA77" s="33" t="s">
        <v>9</v>
      </c>
      <c r="AB77" s="31" t="s">
        <v>5</v>
      </c>
      <c r="AC77" s="29" t="s">
        <v>9</v>
      </c>
      <c r="AD77" s="29" t="s">
        <v>18</v>
      </c>
      <c r="AE77" s="29" t="s">
        <v>18</v>
      </c>
      <c r="AF77" s="29" t="s">
        <v>6</v>
      </c>
      <c r="AG77" s="29"/>
      <c r="AH77" s="32" t="s">
        <v>83</v>
      </c>
    </row>
    <row r="78" customHeight="1" spans="1:34">
      <c r="A78" s="34" t="s">
        <v>99</v>
      </c>
      <c r="B78" s="23" t="s">
        <v>12</v>
      </c>
      <c r="C78" s="29" t="s">
        <v>6</v>
      </c>
      <c r="D78" s="33" t="s">
        <v>5</v>
      </c>
      <c r="E78" s="31" t="s">
        <v>6</v>
      </c>
      <c r="F78" s="30" t="s">
        <v>18</v>
      </c>
      <c r="G78" s="30" t="s">
        <v>6</v>
      </c>
      <c r="H78" s="31" t="s">
        <v>6</v>
      </c>
      <c r="I78" s="29" t="s">
        <v>18</v>
      </c>
      <c r="J78" s="29" t="s">
        <v>18</v>
      </c>
      <c r="K78" s="31" t="s">
        <v>5</v>
      </c>
      <c r="L78" s="30" t="s">
        <v>5</v>
      </c>
      <c r="M78" s="33" t="s">
        <v>18</v>
      </c>
      <c r="N78" s="33" t="s">
        <v>18</v>
      </c>
      <c r="O78" s="31" t="s">
        <v>6</v>
      </c>
      <c r="P78" s="29" t="s">
        <v>6</v>
      </c>
      <c r="Q78" s="29" t="s">
        <v>6</v>
      </c>
      <c r="R78" s="30" t="s">
        <v>6</v>
      </c>
      <c r="S78" s="33" t="s">
        <v>5</v>
      </c>
      <c r="T78" s="33" t="s">
        <v>5</v>
      </c>
      <c r="U78" s="30" t="s">
        <v>6</v>
      </c>
      <c r="V78" s="33" t="s">
        <v>18</v>
      </c>
      <c r="W78" s="31" t="s">
        <v>9</v>
      </c>
      <c r="X78" s="29" t="s">
        <v>18</v>
      </c>
      <c r="Y78" s="29" t="s">
        <v>18</v>
      </c>
      <c r="Z78" s="33" t="s">
        <v>9</v>
      </c>
      <c r="AA78" s="30" t="s">
        <v>5</v>
      </c>
      <c r="AB78" s="30" t="s">
        <v>5</v>
      </c>
      <c r="AC78" s="31" t="s">
        <v>18</v>
      </c>
      <c r="AD78" s="30" t="s">
        <v>9</v>
      </c>
      <c r="AE78" s="30" t="s">
        <v>6</v>
      </c>
      <c r="AF78" s="30" t="s">
        <v>6</v>
      </c>
      <c r="AG78" s="30"/>
      <c r="AH78" s="32" t="s">
        <v>83</v>
      </c>
    </row>
    <row r="79" customHeight="1" spans="1:34">
      <c r="A79" s="34" t="s">
        <v>100</v>
      </c>
      <c r="B79" s="23" t="s">
        <v>4</v>
      </c>
      <c r="C79" s="33" t="s">
        <v>5</v>
      </c>
      <c r="D79" s="29" t="s">
        <v>5</v>
      </c>
      <c r="E79" s="30" t="s">
        <v>18</v>
      </c>
      <c r="F79" s="33" t="s">
        <v>18</v>
      </c>
      <c r="G79" s="30" t="s">
        <v>6</v>
      </c>
      <c r="H79" s="30" t="s">
        <v>9</v>
      </c>
      <c r="I79" s="33" t="s">
        <v>6</v>
      </c>
      <c r="J79" s="33" t="s">
        <v>6</v>
      </c>
      <c r="K79" s="29" t="s">
        <v>5</v>
      </c>
      <c r="L79" s="29" t="s">
        <v>18</v>
      </c>
      <c r="M79" s="33" t="s">
        <v>18</v>
      </c>
      <c r="N79" s="31" t="s">
        <v>9</v>
      </c>
      <c r="O79" s="30" t="s">
        <v>9</v>
      </c>
      <c r="P79" s="30" t="s">
        <v>6</v>
      </c>
      <c r="Q79" s="31" t="s">
        <v>6</v>
      </c>
      <c r="R79" s="29" t="s">
        <v>5</v>
      </c>
      <c r="S79" s="29" t="s">
        <v>5</v>
      </c>
      <c r="T79" s="30" t="s">
        <v>6</v>
      </c>
      <c r="U79" s="33" t="s">
        <v>18</v>
      </c>
      <c r="V79" s="30" t="s">
        <v>9</v>
      </c>
      <c r="W79" s="30" t="s">
        <v>9</v>
      </c>
      <c r="X79" s="33" t="s">
        <v>6</v>
      </c>
      <c r="Y79" s="33" t="s">
        <v>6</v>
      </c>
      <c r="Z79" s="29" t="s">
        <v>5</v>
      </c>
      <c r="AA79" s="29" t="s">
        <v>5</v>
      </c>
      <c r="AB79" s="33" t="s">
        <v>18</v>
      </c>
      <c r="AC79" s="31" t="s">
        <v>18</v>
      </c>
      <c r="AD79" s="30" t="s">
        <v>9</v>
      </c>
      <c r="AE79" s="30" t="s">
        <v>6</v>
      </c>
      <c r="AF79" s="30" t="s">
        <v>6</v>
      </c>
      <c r="AG79" s="30"/>
      <c r="AH79" s="32" t="s">
        <v>83</v>
      </c>
    </row>
    <row r="80" customHeight="1" spans="1:34">
      <c r="A80" s="34" t="s">
        <v>101</v>
      </c>
      <c r="B80" s="23" t="s">
        <v>40</v>
      </c>
      <c r="C80" s="31" t="s">
        <v>5</v>
      </c>
      <c r="D80" s="31" t="s">
        <v>6</v>
      </c>
      <c r="E80" s="30" t="s">
        <v>18</v>
      </c>
      <c r="F80" s="33" t="s">
        <v>6</v>
      </c>
      <c r="G80" s="29" t="s">
        <v>18</v>
      </c>
      <c r="H80" s="29" t="s">
        <v>5</v>
      </c>
      <c r="I80" s="30" t="s">
        <v>6</v>
      </c>
      <c r="J80" s="30" t="s">
        <v>6</v>
      </c>
      <c r="K80" s="33" t="s">
        <v>6</v>
      </c>
      <c r="L80" s="33" t="s">
        <v>5</v>
      </c>
      <c r="M80" s="31" t="s">
        <v>5</v>
      </c>
      <c r="N80" s="33" t="s">
        <v>18</v>
      </c>
      <c r="O80" s="29" t="s">
        <v>18</v>
      </c>
      <c r="P80" s="29" t="s">
        <v>6</v>
      </c>
      <c r="Q80" s="30" t="s">
        <v>6</v>
      </c>
      <c r="R80" s="33" t="s">
        <v>6</v>
      </c>
      <c r="S80" s="31" t="s">
        <v>18</v>
      </c>
      <c r="T80" s="30" t="s">
        <v>5</v>
      </c>
      <c r="U80" s="30" t="s">
        <v>5</v>
      </c>
      <c r="V80" s="33" t="s">
        <v>18</v>
      </c>
      <c r="W80" s="29" t="s">
        <v>18</v>
      </c>
      <c r="X80" s="29" t="s">
        <v>9</v>
      </c>
      <c r="Y80" s="30" t="s">
        <v>6</v>
      </c>
      <c r="Z80" s="30" t="s">
        <v>6</v>
      </c>
      <c r="AA80" s="31" t="s">
        <v>18</v>
      </c>
      <c r="AB80" s="30" t="s">
        <v>5</v>
      </c>
      <c r="AC80" s="33" t="s">
        <v>6</v>
      </c>
      <c r="AD80" s="29" t="s">
        <v>18</v>
      </c>
      <c r="AE80" s="29" t="s">
        <v>9</v>
      </c>
      <c r="AF80" s="29" t="s">
        <v>18</v>
      </c>
      <c r="AG80" s="29"/>
      <c r="AH80" s="32" t="s">
        <v>83</v>
      </c>
    </row>
    <row r="81" customHeight="1" spans="1:34">
      <c r="A81" s="34" t="s">
        <v>102</v>
      </c>
      <c r="B81" s="23" t="s">
        <v>4</v>
      </c>
      <c r="C81" s="33" t="s">
        <v>18</v>
      </c>
      <c r="D81" s="33" t="s">
        <v>6</v>
      </c>
      <c r="E81" s="31" t="s">
        <v>5</v>
      </c>
      <c r="F81" s="30" t="s">
        <v>6</v>
      </c>
      <c r="G81" s="29" t="s">
        <v>18</v>
      </c>
      <c r="H81" s="29" t="s">
        <v>18</v>
      </c>
      <c r="I81" s="30" t="s">
        <v>9</v>
      </c>
      <c r="J81" s="33" t="s">
        <v>6</v>
      </c>
      <c r="K81" s="33" t="s">
        <v>6</v>
      </c>
      <c r="L81" s="30" t="s">
        <v>5</v>
      </c>
      <c r="M81" s="30" t="s">
        <v>5</v>
      </c>
      <c r="N81" s="29" t="s">
        <v>6</v>
      </c>
      <c r="O81" s="29" t="s">
        <v>18</v>
      </c>
      <c r="P81" s="33" t="s">
        <v>18</v>
      </c>
      <c r="Q81" s="30" t="s">
        <v>9</v>
      </c>
      <c r="R81" s="30" t="s">
        <v>6</v>
      </c>
      <c r="S81" s="33" t="s">
        <v>18</v>
      </c>
      <c r="T81" s="31" t="s">
        <v>5</v>
      </c>
      <c r="U81" s="31" t="s">
        <v>5</v>
      </c>
      <c r="V81" s="29" t="s">
        <v>6</v>
      </c>
      <c r="W81" s="29" t="s">
        <v>18</v>
      </c>
      <c r="X81" s="30" t="s">
        <v>18</v>
      </c>
      <c r="Y81" s="33" t="s">
        <v>6</v>
      </c>
      <c r="Z81" s="33" t="s">
        <v>6</v>
      </c>
      <c r="AA81" s="31" t="s">
        <v>5</v>
      </c>
      <c r="AB81" s="30" t="s">
        <v>5</v>
      </c>
      <c r="AC81" s="30" t="s">
        <v>6</v>
      </c>
      <c r="AD81" s="29" t="s">
        <v>6</v>
      </c>
      <c r="AE81" s="29" t="s">
        <v>9</v>
      </c>
      <c r="AF81" s="29" t="s">
        <v>6</v>
      </c>
      <c r="AG81" s="29"/>
      <c r="AH81" s="32" t="s">
        <v>83</v>
      </c>
    </row>
    <row r="82" customHeight="1" spans="1:34">
      <c r="A82" s="34" t="s">
        <v>103</v>
      </c>
      <c r="B82" s="23" t="s">
        <v>4</v>
      </c>
      <c r="C82" s="31" t="s">
        <v>18</v>
      </c>
      <c r="D82" s="30" t="s">
        <v>18</v>
      </c>
      <c r="E82" s="29" t="s">
        <v>6</v>
      </c>
      <c r="F82" s="29" t="s">
        <v>9</v>
      </c>
      <c r="G82" s="33" t="s">
        <v>18</v>
      </c>
      <c r="H82" s="30" t="s">
        <v>5</v>
      </c>
      <c r="I82" s="31" t="s">
        <v>6</v>
      </c>
      <c r="J82" s="30" t="s">
        <v>5</v>
      </c>
      <c r="K82" s="30" t="s">
        <v>18</v>
      </c>
      <c r="L82" s="33" t="s">
        <v>6</v>
      </c>
      <c r="M82" s="29" t="s">
        <v>18</v>
      </c>
      <c r="N82" s="29" t="s">
        <v>18</v>
      </c>
      <c r="O82" s="33" t="s">
        <v>6</v>
      </c>
      <c r="P82" s="31" t="s">
        <v>9</v>
      </c>
      <c r="Q82" s="30" t="s">
        <v>5</v>
      </c>
      <c r="R82" s="30" t="s">
        <v>5</v>
      </c>
      <c r="S82" s="33" t="s">
        <v>6</v>
      </c>
      <c r="T82" s="29" t="s">
        <v>18</v>
      </c>
      <c r="U82" s="29" t="s">
        <v>6</v>
      </c>
      <c r="V82" s="30" t="s">
        <v>6</v>
      </c>
      <c r="W82" s="30" t="s">
        <v>6</v>
      </c>
      <c r="X82" s="31" t="s">
        <v>6</v>
      </c>
      <c r="Y82" s="33" t="s">
        <v>5</v>
      </c>
      <c r="Z82" s="33" t="s">
        <v>6</v>
      </c>
      <c r="AA82" s="33" t="s">
        <v>18</v>
      </c>
      <c r="AB82" s="29" t="s">
        <v>18</v>
      </c>
      <c r="AC82" s="30" t="s">
        <v>18</v>
      </c>
      <c r="AD82" s="33" t="s">
        <v>5</v>
      </c>
      <c r="AE82" s="33" t="s">
        <v>5</v>
      </c>
      <c r="AF82" s="33" t="s">
        <v>9</v>
      </c>
      <c r="AG82" s="33"/>
      <c r="AH82" s="32" t="s">
        <v>83</v>
      </c>
    </row>
    <row r="83" customHeight="1" spans="1:34">
      <c r="A83" s="34" t="s">
        <v>104</v>
      </c>
      <c r="B83" s="23" t="s">
        <v>12</v>
      </c>
      <c r="C83" s="29" t="s">
        <v>5</v>
      </c>
      <c r="D83" s="30" t="s">
        <v>5</v>
      </c>
      <c r="E83" s="30" t="s">
        <v>18</v>
      </c>
      <c r="F83" s="30" t="s">
        <v>6</v>
      </c>
      <c r="G83" s="30" t="s">
        <v>6</v>
      </c>
      <c r="H83" s="31" t="s">
        <v>6</v>
      </c>
      <c r="I83" s="30" t="s">
        <v>18</v>
      </c>
      <c r="J83" s="29" t="s">
        <v>18</v>
      </c>
      <c r="K83" s="33" t="s">
        <v>5</v>
      </c>
      <c r="L83" s="30" t="s">
        <v>5</v>
      </c>
      <c r="M83" s="33" t="s">
        <v>18</v>
      </c>
      <c r="N83" s="31" t="s">
        <v>6</v>
      </c>
      <c r="O83" s="30" t="s">
        <v>6</v>
      </c>
      <c r="P83" s="33" t="s">
        <v>18</v>
      </c>
      <c r="Q83" s="29" t="s">
        <v>18</v>
      </c>
      <c r="R83" s="33" t="s">
        <v>6</v>
      </c>
      <c r="S83" s="29" t="s">
        <v>5</v>
      </c>
      <c r="T83" s="29" t="s">
        <v>18</v>
      </c>
      <c r="U83" s="30" t="s">
        <v>6</v>
      </c>
      <c r="V83" s="30" t="s">
        <v>18</v>
      </c>
      <c r="W83" s="30" t="s">
        <v>6</v>
      </c>
      <c r="X83" s="33" t="s">
        <v>18</v>
      </c>
      <c r="Y83" s="30" t="s">
        <v>18</v>
      </c>
      <c r="Z83" s="29" t="s">
        <v>5</v>
      </c>
      <c r="AA83" s="30" t="s">
        <v>5</v>
      </c>
      <c r="AB83" s="33" t="s">
        <v>18</v>
      </c>
      <c r="AC83" s="33" t="s">
        <v>18</v>
      </c>
      <c r="AD83" s="33" t="s">
        <v>6</v>
      </c>
      <c r="AE83" s="33" t="s">
        <v>6</v>
      </c>
      <c r="AF83" s="33" t="s">
        <v>18</v>
      </c>
      <c r="AG83" s="33"/>
      <c r="AH83" s="32" t="s">
        <v>83</v>
      </c>
    </row>
    <row r="84" customHeight="1" spans="1:34">
      <c r="A84" s="34" t="s">
        <v>105</v>
      </c>
      <c r="B84" s="23" t="s">
        <v>12</v>
      </c>
      <c r="C84" s="29" t="s">
        <v>6</v>
      </c>
      <c r="D84" s="30" t="s">
        <v>6</v>
      </c>
      <c r="E84" s="30" t="s">
        <v>18</v>
      </c>
      <c r="F84" s="31" t="s">
        <v>18</v>
      </c>
      <c r="G84" s="31" t="s">
        <v>5</v>
      </c>
      <c r="H84" s="30" t="s">
        <v>18</v>
      </c>
      <c r="I84" s="30" t="s">
        <v>18</v>
      </c>
      <c r="J84" s="31" t="s">
        <v>6</v>
      </c>
      <c r="K84" s="29" t="s">
        <v>18</v>
      </c>
      <c r="L84" s="29" t="s">
        <v>18</v>
      </c>
      <c r="M84" s="30" t="s">
        <v>6</v>
      </c>
      <c r="N84" s="31" t="s">
        <v>5</v>
      </c>
      <c r="O84" s="30" t="s">
        <v>5</v>
      </c>
      <c r="P84" s="31" t="s">
        <v>18</v>
      </c>
      <c r="Q84" s="31" t="s">
        <v>18</v>
      </c>
      <c r="R84" s="30" t="s">
        <v>6</v>
      </c>
      <c r="S84" s="29" t="s">
        <v>18</v>
      </c>
      <c r="T84" s="29" t="s">
        <v>6</v>
      </c>
      <c r="U84" s="30" t="s">
        <v>6</v>
      </c>
      <c r="V84" s="31" t="s">
        <v>5</v>
      </c>
      <c r="W84" s="31" t="s">
        <v>5</v>
      </c>
      <c r="X84" s="30" t="s">
        <v>18</v>
      </c>
      <c r="Y84" s="31" t="s">
        <v>6</v>
      </c>
      <c r="Z84" s="30" t="s">
        <v>18</v>
      </c>
      <c r="AA84" s="29" t="s">
        <v>6</v>
      </c>
      <c r="AB84" s="30" t="s">
        <v>18</v>
      </c>
      <c r="AC84" s="31" t="s">
        <v>6</v>
      </c>
      <c r="AD84" s="31" t="s">
        <v>5</v>
      </c>
      <c r="AE84" s="31" t="s">
        <v>18</v>
      </c>
      <c r="AF84" s="31" t="s">
        <v>18</v>
      </c>
      <c r="AG84" s="31"/>
      <c r="AH84" s="32" t="s">
        <v>83</v>
      </c>
    </row>
    <row r="85" customHeight="1" spans="1:34">
      <c r="A85" s="34" t="s">
        <v>106</v>
      </c>
      <c r="B85" s="23" t="s">
        <v>12</v>
      </c>
      <c r="C85" s="31" t="s">
        <v>6</v>
      </c>
      <c r="D85" s="30" t="s">
        <v>6</v>
      </c>
      <c r="E85" s="29" t="s">
        <v>5</v>
      </c>
      <c r="F85" s="30" t="s">
        <v>5</v>
      </c>
      <c r="G85" s="30" t="s">
        <v>80</v>
      </c>
      <c r="H85" s="31" t="s">
        <v>80</v>
      </c>
      <c r="I85" s="29" t="s">
        <v>80</v>
      </c>
      <c r="J85" s="30" t="s">
        <v>80</v>
      </c>
      <c r="K85" s="30" t="s">
        <v>80</v>
      </c>
      <c r="L85" s="31" t="s">
        <v>6</v>
      </c>
      <c r="M85" s="30" t="s">
        <v>9</v>
      </c>
      <c r="N85" s="29" t="s">
        <v>6</v>
      </c>
      <c r="O85" s="31" t="s">
        <v>6</v>
      </c>
      <c r="P85" s="30" t="s">
        <v>9</v>
      </c>
      <c r="Q85" s="30" t="s">
        <v>9</v>
      </c>
      <c r="R85" s="31" t="s">
        <v>5</v>
      </c>
      <c r="S85" s="31" t="s">
        <v>6</v>
      </c>
      <c r="T85" s="30" t="s">
        <v>6</v>
      </c>
      <c r="U85" s="29" t="s">
        <v>6</v>
      </c>
      <c r="V85" s="29" t="s">
        <v>6</v>
      </c>
      <c r="W85" s="30" t="s">
        <v>9</v>
      </c>
      <c r="X85" s="31" t="s">
        <v>9</v>
      </c>
      <c r="Y85" s="30" t="s">
        <v>5</v>
      </c>
      <c r="Z85" s="31" t="s">
        <v>5</v>
      </c>
      <c r="AA85" s="30" t="s">
        <v>6</v>
      </c>
      <c r="AB85" s="29" t="s">
        <v>9</v>
      </c>
      <c r="AC85" s="30" t="s">
        <v>6</v>
      </c>
      <c r="AD85" s="30" t="s">
        <v>6</v>
      </c>
      <c r="AE85" s="30" t="s">
        <v>6</v>
      </c>
      <c r="AF85" s="30" t="s">
        <v>6</v>
      </c>
      <c r="AG85" s="30"/>
      <c r="AH85" s="32" t="s">
        <v>107</v>
      </c>
    </row>
    <row r="86" customHeight="1" spans="1:34">
      <c r="A86" s="34" t="s">
        <v>108</v>
      </c>
      <c r="B86" s="23" t="s">
        <v>4</v>
      </c>
      <c r="C86" s="30" t="s">
        <v>9</v>
      </c>
      <c r="D86" s="31" t="s">
        <v>5</v>
      </c>
      <c r="E86" s="31" t="s">
        <v>9</v>
      </c>
      <c r="F86" s="29" t="s">
        <v>6</v>
      </c>
      <c r="G86" s="30" t="s">
        <v>6</v>
      </c>
      <c r="H86" s="30" t="s">
        <v>9</v>
      </c>
      <c r="I86" s="31" t="s">
        <v>6</v>
      </c>
      <c r="J86" s="29" t="s">
        <v>9</v>
      </c>
      <c r="K86" s="31" t="s">
        <v>5</v>
      </c>
      <c r="L86" s="30" t="s">
        <v>5</v>
      </c>
      <c r="M86" s="31" t="s">
        <v>6</v>
      </c>
      <c r="N86" s="30" t="s">
        <v>6</v>
      </c>
      <c r="O86" s="29" t="s">
        <v>9</v>
      </c>
      <c r="P86" s="29" t="s">
        <v>6</v>
      </c>
      <c r="Q86" s="30" t="s">
        <v>6</v>
      </c>
      <c r="R86" s="30" t="s">
        <v>6</v>
      </c>
      <c r="S86" s="30" t="s">
        <v>5</v>
      </c>
      <c r="T86" s="31" t="s">
        <v>5</v>
      </c>
      <c r="U86" s="31" t="s">
        <v>9</v>
      </c>
      <c r="V86" s="30" t="s">
        <v>9</v>
      </c>
      <c r="W86" s="29" t="s">
        <v>9</v>
      </c>
      <c r="X86" s="29" t="s">
        <v>9</v>
      </c>
      <c r="Y86" s="30" t="s">
        <v>6</v>
      </c>
      <c r="Z86" s="30" t="s">
        <v>6</v>
      </c>
      <c r="AA86" s="31" t="s">
        <v>5</v>
      </c>
      <c r="AB86" s="31" t="s">
        <v>6</v>
      </c>
      <c r="AC86" s="30" t="s">
        <v>9</v>
      </c>
      <c r="AD86" s="30" t="s">
        <v>9</v>
      </c>
      <c r="AE86" s="30" t="s">
        <v>6</v>
      </c>
      <c r="AF86" s="30" t="s">
        <v>9</v>
      </c>
      <c r="AG86" s="30"/>
      <c r="AH86" s="32" t="s">
        <v>107</v>
      </c>
    </row>
    <row r="87" customHeight="1" spans="1:34">
      <c r="A87" s="34" t="s">
        <v>109</v>
      </c>
      <c r="B87" s="23" t="s">
        <v>4</v>
      </c>
      <c r="C87" s="29" t="s">
        <v>5</v>
      </c>
      <c r="D87" s="31" t="s">
        <v>9</v>
      </c>
      <c r="E87" s="30" t="s">
        <v>6</v>
      </c>
      <c r="F87" s="30" t="s">
        <v>9</v>
      </c>
      <c r="G87" s="30" t="s">
        <v>9</v>
      </c>
      <c r="H87" s="30" t="s">
        <v>6</v>
      </c>
      <c r="I87" s="33" t="s">
        <v>9</v>
      </c>
      <c r="J87" s="29" t="s">
        <v>5</v>
      </c>
      <c r="K87" s="31" t="s">
        <v>9</v>
      </c>
      <c r="L87" s="33" t="s">
        <v>9</v>
      </c>
      <c r="M87" s="31" t="s">
        <v>6</v>
      </c>
      <c r="N87" s="31" t="s">
        <v>9</v>
      </c>
      <c r="O87" s="33" t="s">
        <v>6</v>
      </c>
      <c r="P87" s="29" t="s">
        <v>5</v>
      </c>
      <c r="Q87" s="30" t="s">
        <v>5</v>
      </c>
      <c r="R87" s="33" t="s">
        <v>9</v>
      </c>
      <c r="S87" s="30" t="s">
        <v>9</v>
      </c>
      <c r="T87" s="30" t="s">
        <v>9</v>
      </c>
      <c r="U87" s="30" t="s">
        <v>6</v>
      </c>
      <c r="V87" s="33" t="s">
        <v>5</v>
      </c>
      <c r="W87" s="29" t="s">
        <v>6</v>
      </c>
      <c r="X87" s="29" t="s">
        <v>6</v>
      </c>
      <c r="Y87" s="30" t="s">
        <v>9</v>
      </c>
      <c r="Z87" s="30" t="s">
        <v>9</v>
      </c>
      <c r="AA87" s="30" t="s">
        <v>9</v>
      </c>
      <c r="AB87" s="30" t="s">
        <v>6</v>
      </c>
      <c r="AC87" s="30" t="s">
        <v>5</v>
      </c>
      <c r="AD87" s="29" t="s">
        <v>6</v>
      </c>
      <c r="AE87" s="29" t="s">
        <v>9</v>
      </c>
      <c r="AF87" s="29" t="s">
        <v>6</v>
      </c>
      <c r="AG87" s="29"/>
      <c r="AH87" s="32" t="s">
        <v>107</v>
      </c>
    </row>
    <row r="88" customHeight="1" spans="1:34">
      <c r="A88" s="34"/>
      <c r="B88" s="23"/>
      <c r="C88" s="33"/>
      <c r="D88" s="29"/>
      <c r="E88" s="31"/>
      <c r="F88" s="33"/>
      <c r="G88" s="30"/>
      <c r="H88" s="29"/>
      <c r="I88" s="33"/>
      <c r="J88" s="33"/>
      <c r="K88" s="31"/>
      <c r="L88" s="30"/>
      <c r="M88" s="33"/>
      <c r="N88" s="33"/>
      <c r="O88" s="29"/>
      <c r="P88" s="30"/>
      <c r="Q88" s="33"/>
      <c r="R88" s="33"/>
      <c r="S88" s="31"/>
      <c r="T88" s="33"/>
      <c r="U88" s="33"/>
      <c r="V88" s="29"/>
      <c r="W88" s="33"/>
      <c r="X88" s="33"/>
      <c r="Y88" s="31"/>
      <c r="Z88" s="33"/>
      <c r="AA88" s="33"/>
      <c r="AB88" s="30"/>
      <c r="AC88" s="29"/>
      <c r="AD88" s="31"/>
      <c r="AE88" s="31"/>
      <c r="AF88" s="31"/>
      <c r="AG88" s="31"/>
      <c r="AH88" s="32"/>
    </row>
  </sheetData>
  <conditionalFormatting sqref="C1:AG1000">
    <cfRule type="cellIs" dxfId="0" priority="1" operator="equal">
      <formula>"skt"</formula>
    </cfRule>
    <cfRule type="cellIs" dxfId="0" priority="2" operator="equal">
      <formula>"ct"</formula>
    </cfRule>
    <cfRule type="cellIs" dxfId="1" priority="3" operator="equal">
      <formula>"p"</formula>
    </cfRule>
    <cfRule type="cellIs" dxfId="2" priority="4" operator="equal">
      <formula>"l"</formula>
    </cfRule>
    <cfRule type="cellIs" dxfId="3" priority="5" operator="equal">
      <formula>"ts"</formula>
    </cfRule>
    <cfRule type="cellIs" dxfId="4" priority="6" operator="equal">
      <formula>"s"</formula>
    </cfRule>
    <cfRule type="cellIs" dxfId="5" priority="7" operator="equal">
      <formula>"m"</formula>
    </cfRule>
  </conditionalFormatting>
  <dataValidations count="2">
    <dataValidation type="list" allowBlank="1" showErrorMessage="1" sqref="AH2:AH88">
      <formula1>"GD.FARMASI,FARM TERPADU,RANAP,IGD,IBS,UPSS,FARKLIN,CENDERAWASIH"</formula1>
    </dataValidation>
    <dataValidation type="list" allowBlank="1" showErrorMessage="1" sqref="C2:AG88">
      <formula1>"P,S,M,TS,PS,L,IZIN,SKT,DL,CT,CM,SR"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9"/>
  <sheetViews>
    <sheetView showGridLines="0" workbookViewId="0">
      <selection activeCell="A1" sqref="A1"/>
    </sheetView>
  </sheetViews>
  <sheetFormatPr defaultColWidth="12.6285714285714" defaultRowHeight="15.75" customHeight="1"/>
  <cols>
    <col min="1" max="2" width="36.247619047619" customWidth="1"/>
    <col min="3" max="3" width="42.6285714285714" customWidth="1"/>
    <col min="4" max="6" width="36.247619047619" customWidth="1"/>
    <col min="7" max="26" width="28" customWidth="1"/>
  </cols>
  <sheetData>
    <row r="1" ht="36.75" customHeight="1" spans="1:26">
      <c r="A1" s="11">
        <f ca="1">TODAY()</f>
        <v>46211</v>
      </c>
      <c r="B1" s="12" t="s">
        <v>110</v>
      </c>
      <c r="C1" s="13">
        <f>B2+C2+D2+E2+F2+A2+G2</f>
        <v>2</v>
      </c>
      <c r="D1" s="12" t="s">
        <v>111</v>
      </c>
      <c r="E1" s="12">
        <v>86</v>
      </c>
      <c r="F1" s="12" t="s">
        <v>112</v>
      </c>
      <c r="G1" s="14">
        <f>E1-C1</f>
        <v>84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spans="1:26">
      <c r="A2" s="16">
        <f t="shared" ref="A2:G2" si="0">COUNTA(A4:A39)</f>
        <v>1</v>
      </c>
      <c r="B2" s="16">
        <f t="shared" si="0"/>
        <v>0</v>
      </c>
      <c r="C2" s="16">
        <f t="shared" si="0"/>
        <v>0</v>
      </c>
      <c r="D2" s="16">
        <f t="shared" si="0"/>
        <v>0</v>
      </c>
      <c r="E2" s="16">
        <f t="shared" si="0"/>
        <v>0</v>
      </c>
      <c r="F2" s="16">
        <f t="shared" si="0"/>
        <v>0</v>
      </c>
      <c r="G2" s="16">
        <f t="shared" si="0"/>
        <v>1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1.5" customHeight="1" spans="1:26">
      <c r="A3" s="18" t="s">
        <v>48</v>
      </c>
      <c r="B3" s="18" t="s">
        <v>83</v>
      </c>
      <c r="C3" s="18" t="s">
        <v>10</v>
      </c>
      <c r="D3" s="18" t="s">
        <v>71</v>
      </c>
      <c r="E3" s="18" t="s">
        <v>65</v>
      </c>
      <c r="F3" s="18" t="s">
        <v>107</v>
      </c>
      <c r="G3" s="19" t="s">
        <v>7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spans="1:26">
      <c r="A4" s="21" t="s">
        <v>113</v>
      </c>
      <c r="B4" s="21"/>
      <c r="C4" s="21"/>
      <c r="D4" s="21"/>
      <c r="E4" s="21"/>
      <c r="F4" s="21"/>
      <c r="G4" s="21" t="s">
        <v>114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spans="1:26">
      <c r="A5" s="21"/>
      <c r="B5" s="21"/>
      <c r="C5" s="21"/>
      <c r="D5" s="21"/>
      <c r="E5" s="21"/>
      <c r="F5" s="21"/>
      <c r="G5" s="2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spans="1:26">
      <c r="A6" s="21"/>
      <c r="B6" s="21"/>
      <c r="C6" s="21"/>
      <c r="D6" s="21"/>
      <c r="E6" s="21"/>
      <c r="F6" s="21"/>
      <c r="G6" s="2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spans="1:26">
      <c r="A7" s="21"/>
      <c r="B7" s="21"/>
      <c r="C7" s="21"/>
      <c r="D7" s="21"/>
      <c r="E7" s="21"/>
      <c r="F7" s="22"/>
      <c r="G7" s="22"/>
    </row>
    <row r="8" ht="12.75" spans="1:26">
      <c r="A8" s="21"/>
      <c r="B8" s="21"/>
      <c r="C8" s="21"/>
      <c r="D8" s="21"/>
      <c r="E8" s="21"/>
      <c r="F8" s="22"/>
      <c r="G8" s="22"/>
    </row>
    <row r="9" ht="12.75" spans="1:26">
      <c r="A9" s="21"/>
      <c r="B9" s="21"/>
      <c r="C9" s="21"/>
      <c r="D9" s="21"/>
      <c r="E9" s="22"/>
      <c r="F9" s="22"/>
      <c r="G9" s="22"/>
    </row>
    <row r="10" ht="12.75" spans="1:26">
      <c r="A10" s="21"/>
      <c r="B10" s="21"/>
      <c r="C10" s="21"/>
      <c r="D10" s="21"/>
      <c r="E10" s="22"/>
      <c r="F10" s="22"/>
      <c r="G10" s="22"/>
    </row>
    <row r="11" ht="12.75" spans="1:26">
      <c r="A11" s="21"/>
      <c r="B11" s="21"/>
      <c r="C11" s="21"/>
      <c r="D11" s="21"/>
      <c r="E11" s="22"/>
      <c r="F11" s="22"/>
      <c r="G11" s="22"/>
    </row>
    <row r="12" ht="12.75" spans="1:26">
      <c r="A12" s="21"/>
      <c r="B12" s="21"/>
      <c r="C12" s="21"/>
      <c r="D12" s="21"/>
      <c r="E12" s="22"/>
      <c r="F12" s="22"/>
      <c r="G12" s="22"/>
    </row>
    <row r="13" ht="12.75" spans="1:26">
      <c r="A13" s="21"/>
      <c r="B13" s="21"/>
      <c r="C13" s="21"/>
      <c r="D13" s="21"/>
      <c r="E13" s="22"/>
      <c r="F13" s="22"/>
      <c r="G13" s="22"/>
    </row>
    <row r="14" ht="12.75" spans="1:26">
      <c r="A14" s="21"/>
      <c r="B14" s="21"/>
      <c r="C14" s="21"/>
      <c r="D14" s="22"/>
      <c r="E14" s="22"/>
      <c r="F14" s="22"/>
      <c r="G14" s="22"/>
    </row>
    <row r="15" ht="12.75" spans="1:26">
      <c r="A15" s="21"/>
      <c r="B15" s="21"/>
      <c r="C15" s="21"/>
      <c r="D15" s="22"/>
      <c r="E15" s="22"/>
      <c r="F15" s="22"/>
      <c r="G15" s="22"/>
    </row>
    <row r="16" ht="12.75" spans="1:26">
      <c r="A16" s="21"/>
      <c r="B16" s="21"/>
      <c r="C16" s="21"/>
      <c r="D16" s="22"/>
      <c r="E16" s="22"/>
      <c r="F16" s="22"/>
      <c r="G16" s="22"/>
    </row>
    <row r="17" ht="12.75" spans="1:7">
      <c r="A17" s="21"/>
      <c r="B17" s="21"/>
      <c r="C17" s="21"/>
      <c r="D17" s="22"/>
      <c r="E17" s="22"/>
      <c r="F17" s="22"/>
      <c r="G17" s="22"/>
    </row>
    <row r="18" ht="12.75" spans="1:7">
      <c r="A18" s="22"/>
      <c r="B18" s="21"/>
      <c r="C18" s="21"/>
      <c r="D18" s="22"/>
      <c r="E18" s="22"/>
      <c r="F18" s="22"/>
      <c r="G18" s="22"/>
    </row>
    <row r="19" ht="12.75" spans="1:7">
      <c r="A19" s="22"/>
      <c r="B19" s="21"/>
      <c r="C19" s="21"/>
      <c r="D19" s="22"/>
      <c r="E19" s="22"/>
      <c r="F19" s="22"/>
      <c r="G19" s="22"/>
    </row>
    <row r="20" ht="12.75" spans="1:7">
      <c r="A20" s="22"/>
      <c r="B20" s="21"/>
      <c r="C20" s="21"/>
      <c r="D20" s="22"/>
      <c r="E20" s="22"/>
      <c r="F20" s="22"/>
      <c r="G20" s="22"/>
    </row>
    <row r="21" ht="12.75" spans="1:7">
      <c r="A21" s="22"/>
      <c r="B21" s="21"/>
      <c r="C21" s="21"/>
      <c r="D21" s="22"/>
      <c r="E21" s="22"/>
      <c r="F21" s="22"/>
      <c r="G21" s="22"/>
    </row>
    <row r="22" ht="12.75" spans="1:7">
      <c r="A22" s="22"/>
      <c r="B22" s="21"/>
      <c r="C22" s="21"/>
      <c r="D22" s="22"/>
      <c r="E22" s="22"/>
      <c r="F22" s="22"/>
      <c r="G22" s="22"/>
    </row>
    <row r="23" ht="12.75" spans="1:7">
      <c r="A23" s="22"/>
      <c r="B23" s="22"/>
      <c r="C23" s="21"/>
      <c r="D23" s="22"/>
      <c r="E23" s="22"/>
      <c r="F23" s="22"/>
      <c r="G23" s="22"/>
    </row>
    <row r="24" ht="12.75" spans="1:7">
      <c r="A24" s="22"/>
      <c r="B24" s="22"/>
      <c r="C24" s="21"/>
      <c r="D24" s="22"/>
      <c r="E24" s="22"/>
      <c r="F24" s="22"/>
      <c r="G24" s="22"/>
    </row>
    <row r="25" ht="12.75" spans="1:7">
      <c r="A25" s="22"/>
      <c r="B25" s="22"/>
      <c r="C25" s="21"/>
      <c r="D25" s="22"/>
      <c r="E25" s="22"/>
      <c r="F25" s="22"/>
      <c r="G25" s="22"/>
    </row>
    <row r="26" ht="12.75" spans="1:7">
      <c r="A26" s="22"/>
      <c r="B26" s="22"/>
      <c r="C26" s="21"/>
      <c r="D26" s="22"/>
      <c r="E26" s="22"/>
      <c r="F26" s="22"/>
      <c r="G26" s="22"/>
    </row>
    <row r="27" ht="12.75" spans="1:7">
      <c r="A27" s="22"/>
      <c r="B27" s="22"/>
      <c r="C27" s="21"/>
      <c r="D27" s="22"/>
      <c r="E27" s="22"/>
      <c r="F27" s="22"/>
      <c r="G27" s="22"/>
    </row>
    <row r="28" ht="12.75" spans="1:7">
      <c r="A28" s="22"/>
      <c r="B28" s="22"/>
      <c r="C28" s="21"/>
      <c r="D28" s="22"/>
      <c r="E28" s="22"/>
      <c r="F28" s="22"/>
      <c r="G28" s="22"/>
    </row>
    <row r="29" ht="12.75" spans="1:7">
      <c r="A29" s="22"/>
      <c r="B29" s="22"/>
      <c r="C29" s="21"/>
      <c r="D29" s="22"/>
      <c r="E29" s="22"/>
      <c r="F29" s="22"/>
      <c r="G29" s="22"/>
    </row>
    <row r="30" ht="12.75" spans="1:7">
      <c r="A30" s="22"/>
      <c r="B30" s="22"/>
      <c r="C30" s="21"/>
      <c r="D30" s="22"/>
      <c r="E30" s="22"/>
      <c r="F30" s="22"/>
      <c r="G30" s="22"/>
    </row>
    <row r="31" ht="12.75" spans="1:7">
      <c r="A31" s="22"/>
      <c r="B31" s="22"/>
      <c r="C31" s="21"/>
      <c r="D31" s="22"/>
      <c r="E31" s="22"/>
      <c r="F31" s="22"/>
      <c r="G31" s="22"/>
    </row>
    <row r="32" ht="12.75" spans="1:7">
      <c r="A32" s="22"/>
      <c r="B32" s="22"/>
      <c r="C32" s="21"/>
      <c r="D32" s="22"/>
      <c r="E32" s="22"/>
      <c r="F32" s="22"/>
      <c r="G32" s="22"/>
    </row>
    <row r="33" ht="12.75" spans="1:7">
      <c r="A33" s="22"/>
      <c r="B33" s="22"/>
      <c r="C33" s="21"/>
      <c r="D33" s="22"/>
      <c r="E33" s="22"/>
      <c r="F33" s="22"/>
      <c r="G33" s="22"/>
    </row>
    <row r="34" ht="12.75" spans="1:7">
      <c r="A34" s="22"/>
      <c r="B34" s="22"/>
      <c r="C34" s="22"/>
      <c r="D34" s="22"/>
      <c r="E34" s="22"/>
      <c r="F34" s="22"/>
      <c r="G34" s="22"/>
    </row>
    <row r="35" ht="12.75" spans="1:7">
      <c r="A35" s="22"/>
      <c r="B35" s="22"/>
      <c r="C35" s="22"/>
      <c r="D35" s="22"/>
      <c r="E35" s="22"/>
      <c r="F35" s="22"/>
      <c r="G35" s="22"/>
    </row>
    <row r="36" ht="12.75" spans="1:7">
      <c r="A36" s="22"/>
      <c r="B36" s="22"/>
      <c r="C36" s="22"/>
      <c r="D36" s="22"/>
      <c r="E36" s="22"/>
      <c r="F36" s="22"/>
      <c r="G36" s="22"/>
    </row>
    <row r="37" ht="12.75" spans="1:7">
      <c r="A37" s="22"/>
      <c r="B37" s="22"/>
      <c r="C37" s="22"/>
      <c r="D37" s="22"/>
      <c r="E37" s="22"/>
      <c r="F37" s="22"/>
      <c r="G37" s="22"/>
    </row>
    <row r="38" ht="12.75" spans="1:7">
      <c r="A38" s="22"/>
      <c r="B38" s="22"/>
      <c r="C38" s="22"/>
      <c r="D38" s="22"/>
      <c r="E38" s="22"/>
      <c r="F38" s="22"/>
      <c r="G38" s="22"/>
    </row>
    <row r="39" ht="12.75" spans="1:7">
      <c r="A39" s="22"/>
      <c r="B39" s="22"/>
      <c r="C39" s="22"/>
      <c r="D39" s="22"/>
      <c r="E39" s="22"/>
      <c r="F39" s="22"/>
      <c r="G39" s="22"/>
    </row>
  </sheetData>
  <conditionalFormatting sqref="A4:Z200">
    <cfRule type="containsText" dxfId="6" priority="1" operator="between" text="(P)">
      <formula>NOT(ISERROR(SEARCH("(P)",A4)))</formula>
    </cfRule>
    <cfRule type="containsText" dxfId="7" priority="2" operator="between" text="(S)">
      <formula>NOT(ISERROR(SEARCH("(S)",A4)))</formula>
    </cfRule>
    <cfRule type="containsText" dxfId="8" priority="3" operator="between" text="(M)">
      <formula>NOT(ISERROR(SEARCH("(M)",A4)))</formula>
    </cfRule>
    <cfRule type="containsText" dxfId="9" priority="4" operator="between" text="(TS)">
      <formula>NOT(ISERROR(SEARCH("(TS)",A4)))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1"/>
  <sheetViews>
    <sheetView workbookViewId="0">
      <selection activeCell="A1" sqref="A1:M1"/>
    </sheetView>
  </sheetViews>
  <sheetFormatPr defaultColWidth="12.6285714285714" defaultRowHeight="15.75" customHeight="1"/>
  <cols>
    <col min="1" max="1" width="4.62857142857143" customWidth="1"/>
    <col min="2" max="2" width="18.8761904761905" customWidth="1"/>
    <col min="3" max="3" width="36.3809523809524" customWidth="1"/>
    <col min="13" max="13" width="14.752380952381" customWidth="1"/>
  </cols>
  <sheetData>
    <row r="1" ht="18" spans="1:13">
      <c r="A1" s="1" t="s">
        <v>115</v>
      </c>
    </row>
    <row r="4" ht="28.5" customHeight="1" spans="1:13">
      <c r="A4" s="2" t="s">
        <v>116</v>
      </c>
      <c r="B4" s="2" t="s">
        <v>2</v>
      </c>
      <c r="C4" s="2" t="s">
        <v>117</v>
      </c>
      <c r="D4" s="2" t="s">
        <v>118</v>
      </c>
      <c r="E4" s="2" t="s">
        <v>119</v>
      </c>
      <c r="F4" s="3" t="s">
        <v>120</v>
      </c>
      <c r="G4" s="4"/>
      <c r="H4" s="4"/>
      <c r="I4" s="4"/>
      <c r="J4" s="4"/>
      <c r="K4" s="4"/>
      <c r="L4" s="5"/>
      <c r="M4" s="2" t="s">
        <v>121</v>
      </c>
    </row>
    <row r="5" ht="12.75" spans="1:13">
      <c r="A5" s="6"/>
      <c r="B5" s="6"/>
      <c r="C5" s="6"/>
      <c r="D5" s="6"/>
      <c r="E5" s="6"/>
      <c r="F5" s="7">
        <v>18</v>
      </c>
      <c r="G5" s="7">
        <v>19</v>
      </c>
      <c r="H5" s="7">
        <v>20</v>
      </c>
      <c r="I5" s="7">
        <v>21</v>
      </c>
      <c r="J5" s="7">
        <v>22</v>
      </c>
      <c r="K5" s="7">
        <v>23</v>
      </c>
      <c r="L5" s="7">
        <v>24</v>
      </c>
      <c r="M5" s="6"/>
    </row>
    <row r="6" ht="12.75" spans="1:13">
      <c r="A6" s="8">
        <v>1</v>
      </c>
      <c r="B6" s="8" t="s">
        <v>122</v>
      </c>
      <c r="C6" s="8" t="s">
        <v>55</v>
      </c>
      <c r="D6" s="8" t="s">
        <v>123</v>
      </c>
      <c r="E6" s="8" t="s">
        <v>33</v>
      </c>
      <c r="F6" s="9" t="s">
        <v>124</v>
      </c>
      <c r="G6" s="9" t="s">
        <v>124</v>
      </c>
      <c r="H6" s="9" t="s">
        <v>124</v>
      </c>
      <c r="I6" s="9" t="s">
        <v>124</v>
      </c>
      <c r="J6" s="9" t="s">
        <v>124</v>
      </c>
      <c r="K6" s="9" t="s">
        <v>124</v>
      </c>
      <c r="L6" s="9" t="s">
        <v>124</v>
      </c>
      <c r="M6" s="8" t="s">
        <v>125</v>
      </c>
    </row>
    <row r="7" ht="12.75" spans="1:13">
      <c r="A7" s="8">
        <v>2</v>
      </c>
      <c r="B7" s="8" t="s">
        <v>10</v>
      </c>
      <c r="C7" s="8" t="s">
        <v>23</v>
      </c>
      <c r="D7" s="8" t="s">
        <v>126</v>
      </c>
      <c r="E7" s="8" t="s">
        <v>4</v>
      </c>
      <c r="F7" s="9" t="s">
        <v>124</v>
      </c>
      <c r="G7" s="9" t="s">
        <v>124</v>
      </c>
      <c r="H7" s="9" t="s">
        <v>124</v>
      </c>
      <c r="I7" s="9" t="s">
        <v>124</v>
      </c>
      <c r="J7" s="9" t="s">
        <v>124</v>
      </c>
      <c r="K7" s="9" t="s">
        <v>124</v>
      </c>
      <c r="L7" s="9" t="s">
        <v>124</v>
      </c>
      <c r="M7" s="8" t="s">
        <v>127</v>
      </c>
    </row>
    <row r="8" ht="12.75" spans="1:13">
      <c r="A8" s="8">
        <v>3</v>
      </c>
      <c r="B8" s="8" t="s">
        <v>48</v>
      </c>
      <c r="C8" s="8" t="s">
        <v>54</v>
      </c>
      <c r="D8" s="8" t="s">
        <v>126</v>
      </c>
      <c r="E8" s="8" t="s">
        <v>33</v>
      </c>
      <c r="F8" s="9" t="s">
        <v>124</v>
      </c>
      <c r="G8" s="9" t="s">
        <v>124</v>
      </c>
      <c r="H8" s="9" t="s">
        <v>124</v>
      </c>
      <c r="I8" s="9" t="s">
        <v>124</v>
      </c>
      <c r="J8" s="9" t="s">
        <v>124</v>
      </c>
      <c r="K8" s="9" t="s">
        <v>124</v>
      </c>
      <c r="L8" s="9" t="s">
        <v>6</v>
      </c>
      <c r="M8" s="8" t="s">
        <v>128</v>
      </c>
    </row>
    <row r="9" ht="12.75" spans="1:13">
      <c r="A9" s="8">
        <v>4</v>
      </c>
      <c r="B9" s="8" t="s">
        <v>71</v>
      </c>
      <c r="C9" s="8" t="s">
        <v>70</v>
      </c>
      <c r="D9" s="8" t="s">
        <v>126</v>
      </c>
      <c r="E9" s="8" t="s">
        <v>12</v>
      </c>
      <c r="F9" s="9" t="s">
        <v>124</v>
      </c>
      <c r="G9" s="9" t="s">
        <v>124</v>
      </c>
      <c r="H9" s="9" t="s">
        <v>124</v>
      </c>
      <c r="I9" s="9" t="s">
        <v>124</v>
      </c>
      <c r="J9" s="9" t="s">
        <v>6</v>
      </c>
      <c r="K9" s="9" t="s">
        <v>124</v>
      </c>
      <c r="L9" s="9" t="s">
        <v>124</v>
      </c>
      <c r="M9" s="8" t="s">
        <v>129</v>
      </c>
    </row>
    <row r="10" ht="12.75" spans="1:13">
      <c r="A10" s="8">
        <v>5</v>
      </c>
      <c r="B10" s="8" t="s">
        <v>83</v>
      </c>
      <c r="C10" s="8" t="s">
        <v>87</v>
      </c>
      <c r="D10" s="8" t="s">
        <v>130</v>
      </c>
      <c r="E10" s="8" t="s">
        <v>62</v>
      </c>
      <c r="F10" s="9" t="s">
        <v>9</v>
      </c>
      <c r="G10" s="9" t="s">
        <v>18</v>
      </c>
      <c r="H10" s="9" t="s">
        <v>124</v>
      </c>
      <c r="I10" s="9" t="s">
        <v>124</v>
      </c>
      <c r="J10" s="9" t="s">
        <v>18</v>
      </c>
      <c r="K10" s="9" t="s">
        <v>18</v>
      </c>
      <c r="L10" s="9" t="s">
        <v>124</v>
      </c>
      <c r="M10" s="8" t="s">
        <v>131</v>
      </c>
    </row>
    <row r="11" ht="12.75" spans="1:13">
      <c r="A11" s="8">
        <v>6</v>
      </c>
      <c r="B11" s="8" t="s">
        <v>48</v>
      </c>
      <c r="C11" s="8" t="s">
        <v>47</v>
      </c>
      <c r="D11" s="8" t="s">
        <v>132</v>
      </c>
      <c r="E11" s="8" t="s">
        <v>12</v>
      </c>
      <c r="F11" s="9" t="s">
        <v>6</v>
      </c>
      <c r="G11" s="9" t="s">
        <v>124</v>
      </c>
      <c r="H11" s="9" t="s">
        <v>5</v>
      </c>
      <c r="I11" s="9" t="s">
        <v>5</v>
      </c>
      <c r="J11" s="9" t="s">
        <v>5</v>
      </c>
      <c r="K11" s="9" t="s">
        <v>5</v>
      </c>
      <c r="L11" s="9" t="s">
        <v>5</v>
      </c>
      <c r="M11" s="8" t="s">
        <v>133</v>
      </c>
    </row>
    <row r="12" ht="12.75" spans="1:13">
      <c r="A12" s="8">
        <v>7</v>
      </c>
      <c r="B12" s="8" t="s">
        <v>48</v>
      </c>
      <c r="C12" s="8" t="s">
        <v>49</v>
      </c>
      <c r="D12" s="8" t="s">
        <v>134</v>
      </c>
      <c r="E12" s="8" t="s">
        <v>33</v>
      </c>
      <c r="F12" s="9" t="s">
        <v>6</v>
      </c>
      <c r="G12" s="9" t="s">
        <v>5</v>
      </c>
      <c r="H12" s="9" t="s">
        <v>5</v>
      </c>
      <c r="I12" s="9" t="s">
        <v>5</v>
      </c>
      <c r="J12" s="9" t="s">
        <v>5</v>
      </c>
      <c r="K12" s="9" t="s">
        <v>124</v>
      </c>
      <c r="L12" s="9" t="s">
        <v>124</v>
      </c>
      <c r="M12" s="8" t="s">
        <v>135</v>
      </c>
    </row>
    <row r="13" ht="12.75" spans="1:13">
      <c r="A13" s="8">
        <v>8</v>
      </c>
      <c r="B13" s="8" t="s">
        <v>48</v>
      </c>
      <c r="C13" s="8" t="s">
        <v>50</v>
      </c>
      <c r="D13" s="8" t="s">
        <v>134</v>
      </c>
      <c r="E13" s="8" t="s">
        <v>33</v>
      </c>
      <c r="F13" s="9" t="s">
        <v>5</v>
      </c>
      <c r="G13" s="9" t="s">
        <v>5</v>
      </c>
      <c r="H13" s="9" t="s">
        <v>124</v>
      </c>
      <c r="I13" s="9" t="s">
        <v>5</v>
      </c>
      <c r="J13" s="9" t="s">
        <v>5</v>
      </c>
      <c r="K13" s="9" t="s">
        <v>5</v>
      </c>
      <c r="L13" s="9" t="s">
        <v>6</v>
      </c>
      <c r="M13" s="8" t="s">
        <v>136</v>
      </c>
    </row>
    <row r="14" ht="12.75" spans="1:13">
      <c r="A14" s="8">
        <v>9</v>
      </c>
      <c r="B14" s="8" t="s">
        <v>48</v>
      </c>
      <c r="C14" s="8" t="s">
        <v>51</v>
      </c>
      <c r="D14" s="8" t="s">
        <v>134</v>
      </c>
      <c r="E14" s="8" t="s">
        <v>33</v>
      </c>
      <c r="F14" s="9" t="s">
        <v>6</v>
      </c>
      <c r="G14" s="9" t="s">
        <v>124</v>
      </c>
      <c r="H14" s="9" t="s">
        <v>5</v>
      </c>
      <c r="I14" s="9" t="s">
        <v>5</v>
      </c>
      <c r="J14" s="9" t="s">
        <v>5</v>
      </c>
      <c r="K14" s="9" t="s">
        <v>5</v>
      </c>
      <c r="L14" s="9" t="s">
        <v>5</v>
      </c>
      <c r="M14" s="8" t="s">
        <v>137</v>
      </c>
    </row>
    <row r="15" ht="12.75" spans="1:13">
      <c r="A15" s="8">
        <v>10</v>
      </c>
      <c r="B15" s="8" t="s">
        <v>48</v>
      </c>
      <c r="C15" s="8" t="s">
        <v>46</v>
      </c>
      <c r="D15" s="8" t="s">
        <v>134</v>
      </c>
      <c r="E15" s="8" t="s">
        <v>12</v>
      </c>
      <c r="F15" s="9" t="s">
        <v>5</v>
      </c>
      <c r="G15" s="9" t="s">
        <v>124</v>
      </c>
      <c r="H15" s="9" t="s">
        <v>5</v>
      </c>
      <c r="I15" s="9" t="s">
        <v>5</v>
      </c>
      <c r="J15" s="9" t="s">
        <v>5</v>
      </c>
      <c r="K15" s="9" t="s">
        <v>5</v>
      </c>
      <c r="L15" s="9" t="s">
        <v>5</v>
      </c>
      <c r="M15" s="8" t="s">
        <v>138</v>
      </c>
    </row>
    <row r="16" ht="12.75" spans="1:13">
      <c r="A16" s="8">
        <v>11</v>
      </c>
      <c r="B16" s="8" t="s">
        <v>48</v>
      </c>
      <c r="C16" s="8" t="s">
        <v>53</v>
      </c>
      <c r="D16" s="8" t="s">
        <v>134</v>
      </c>
      <c r="E16" s="8" t="s">
        <v>4</v>
      </c>
      <c r="F16" s="9" t="s">
        <v>5</v>
      </c>
      <c r="G16" s="9" t="s">
        <v>5</v>
      </c>
      <c r="H16" s="9" t="s">
        <v>5</v>
      </c>
      <c r="I16" s="9" t="s">
        <v>5</v>
      </c>
      <c r="J16" s="9" t="s">
        <v>5</v>
      </c>
      <c r="K16" s="9" t="s">
        <v>124</v>
      </c>
      <c r="L16" s="9" t="s">
        <v>124</v>
      </c>
      <c r="M16" s="8" t="s">
        <v>139</v>
      </c>
    </row>
    <row r="17" ht="12.75" spans="1:13">
      <c r="A17" s="8">
        <v>12</v>
      </c>
      <c r="B17" s="8" t="s">
        <v>48</v>
      </c>
      <c r="C17" s="8" t="s">
        <v>56</v>
      </c>
      <c r="D17" s="8" t="s">
        <v>123</v>
      </c>
      <c r="E17" s="8" t="s">
        <v>4</v>
      </c>
      <c r="F17" s="9" t="s">
        <v>6</v>
      </c>
      <c r="G17" s="9" t="s">
        <v>124</v>
      </c>
      <c r="H17" s="9" t="s">
        <v>5</v>
      </c>
      <c r="I17" s="9" t="s">
        <v>5</v>
      </c>
      <c r="J17" s="9" t="s">
        <v>5</v>
      </c>
      <c r="K17" s="9" t="s">
        <v>5</v>
      </c>
      <c r="L17" s="9" t="s">
        <v>5</v>
      </c>
      <c r="M17" s="8" t="s">
        <v>140</v>
      </c>
    </row>
    <row r="18" ht="12.75" spans="1:13">
      <c r="A18" s="8">
        <v>13</v>
      </c>
      <c r="B18" s="8" t="s">
        <v>48</v>
      </c>
      <c r="C18" s="8" t="s">
        <v>59</v>
      </c>
      <c r="D18" s="8" t="s">
        <v>141</v>
      </c>
      <c r="E18" s="8" t="s">
        <v>33</v>
      </c>
      <c r="F18" s="9" t="s">
        <v>5</v>
      </c>
      <c r="G18" s="9" t="s">
        <v>5</v>
      </c>
      <c r="H18" s="9" t="s">
        <v>124</v>
      </c>
      <c r="I18" s="9" t="s">
        <v>5</v>
      </c>
      <c r="J18" s="9" t="s">
        <v>5</v>
      </c>
      <c r="K18" s="9" t="s">
        <v>5</v>
      </c>
      <c r="L18" s="9" t="s">
        <v>6</v>
      </c>
      <c r="M18" s="8" t="s">
        <v>142</v>
      </c>
    </row>
    <row r="19" ht="12.75" spans="1:13">
      <c r="A19" s="8">
        <v>14</v>
      </c>
      <c r="B19" s="8" t="s">
        <v>48</v>
      </c>
      <c r="C19" s="8" t="s">
        <v>60</v>
      </c>
      <c r="D19" s="8" t="s">
        <v>141</v>
      </c>
      <c r="E19" s="8" t="s">
        <v>4</v>
      </c>
      <c r="F19" s="9" t="s">
        <v>5</v>
      </c>
      <c r="G19" s="9" t="s">
        <v>5</v>
      </c>
      <c r="H19" s="9" t="s">
        <v>124</v>
      </c>
      <c r="I19" s="9" t="s">
        <v>5</v>
      </c>
      <c r="J19" s="9" t="s">
        <v>5</v>
      </c>
      <c r="K19" s="9" t="s">
        <v>5</v>
      </c>
      <c r="L19" s="9" t="s">
        <v>6</v>
      </c>
      <c r="M19" s="8" t="s">
        <v>143</v>
      </c>
    </row>
    <row r="20" ht="12.75" spans="1:13">
      <c r="A20" s="8">
        <v>15</v>
      </c>
      <c r="B20" s="8" t="s">
        <v>48</v>
      </c>
      <c r="C20" s="8" t="s">
        <v>61</v>
      </c>
      <c r="D20" s="8" t="s">
        <v>141</v>
      </c>
      <c r="E20" s="8" t="s">
        <v>62</v>
      </c>
      <c r="F20" s="9" t="s">
        <v>6</v>
      </c>
      <c r="G20" s="9" t="s">
        <v>5</v>
      </c>
      <c r="H20" s="9" t="s">
        <v>5</v>
      </c>
      <c r="I20" s="9" t="s">
        <v>5</v>
      </c>
      <c r="J20" s="9" t="s">
        <v>5</v>
      </c>
      <c r="K20" s="9" t="s">
        <v>124</v>
      </c>
      <c r="L20" s="9" t="s">
        <v>124</v>
      </c>
      <c r="M20" s="8" t="s">
        <v>144</v>
      </c>
    </row>
    <row r="21" ht="12.75" spans="1:13">
      <c r="A21" s="8">
        <v>16</v>
      </c>
      <c r="B21" s="8" t="s">
        <v>48</v>
      </c>
      <c r="C21" s="8" t="s">
        <v>145</v>
      </c>
      <c r="D21" s="8" t="s">
        <v>134</v>
      </c>
      <c r="E21" s="8" t="s">
        <v>146</v>
      </c>
      <c r="F21" s="9" t="s">
        <v>5</v>
      </c>
      <c r="G21" s="9" t="s">
        <v>5</v>
      </c>
      <c r="H21" s="9" t="s">
        <v>124</v>
      </c>
      <c r="I21" s="9" t="s">
        <v>5</v>
      </c>
      <c r="J21" s="9" t="s">
        <v>5</v>
      </c>
      <c r="K21" s="9" t="s">
        <v>5</v>
      </c>
      <c r="L21" s="9" t="s">
        <v>5</v>
      </c>
      <c r="M21" s="8" t="s">
        <v>147</v>
      </c>
    </row>
    <row r="25" ht="12.75" spans="1:13">
      <c r="B25" s="10" t="s">
        <v>148</v>
      </c>
      <c r="H25" s="10" t="s">
        <v>149</v>
      </c>
    </row>
    <row r="26" ht="12.75" spans="1:13">
      <c r="B26" s="10" t="s">
        <v>150</v>
      </c>
      <c r="H26" s="10" t="s">
        <v>151</v>
      </c>
    </row>
    <row r="30" ht="12.75" spans="1:13">
      <c r="B30" s="10" t="s">
        <v>152</v>
      </c>
      <c r="H30" s="10" t="s">
        <v>153</v>
      </c>
    </row>
    <row r="31" ht="12.75" spans="1:13">
      <c r="B31" s="10" t="s">
        <v>154</v>
      </c>
      <c r="H31" s="10" t="s">
        <v>155</v>
      </c>
    </row>
  </sheetData>
  <mergeCells count="2">
    <mergeCell ref="A1:M1"/>
    <mergeCell ref="F4:L4"/>
  </mergeCells>
  <conditionalFormatting sqref="F6:L21">
    <cfRule type="cellIs" dxfId="10" priority="1" operator="equal">
      <formula>"L"</formula>
    </cfRule>
    <cfRule type="cellIs" dxfId="1" priority="2" operator="equal">
      <formula>"on call"</formula>
    </cfRule>
    <cfRule type="cellIs" dxfId="11" priority="3" operator="equal">
      <formula>"p"</formula>
    </cfRule>
    <cfRule type="cellIs" dxfId="12" priority="4" operator="equal">
      <formula>"s"</formula>
    </cfRule>
    <cfRule type="cellIs" dxfId="13" priority="5" operator="equal">
      <formula>"ts"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GRAFIK</vt:lpstr>
      <vt:lpstr>Jadwal</vt:lpstr>
      <vt:lpstr>rekap jadwal</vt:lpstr>
      <vt:lpstr>lebaran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google1583389623</cp:lastModifiedBy>
  <dcterms:created xsi:type="dcterms:W3CDTF">2026-07-08T01:55:33Z</dcterms:created>
  <dcterms:modified xsi:type="dcterms:W3CDTF">2026-07-08T02:17:13Z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07924E008645481EBD21E1FAF17E46D9_12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